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Gap Assessment" sheetId="2" state="visible" r:id="rId4"/>
    <sheet name="Dashboard" sheetId="3" state="visible" r:id="rId5"/>
    <sheet name="Remediation Roadmap" sheetId="4" state="visible" r:id="rId6"/>
  </sheets>
  <definedNames>
    <definedName function="false" hidden="true" localSheetId="1" name="_xlnm._FilterDatabase" vbProcedure="false">'Gap Assessment'!$A$1:$J$94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<sst xmlns="http://schemas.openxmlformats.org/spreadsheetml/2006/main" count="1482" uniqueCount="527">
  <si>
    <t xml:space="preserve">ISO/IEC 27001:2022 — Annex A Gap Assessment</t>
  </si>
  <si>
    <t xml:space="preserve">GridFlex Technologies</t>
  </si>
  <si>
    <t xml:space="preserve">Organization</t>
  </si>
  <si>
    <t xml:space="preserve">GridFlex Technologies (fictional) — SaaS company providing a customizable AI app builder for CRM, Help Desk, Ticketing, and Operations.</t>
  </si>
  <si>
    <t xml:space="preserve">Size</t>
  </si>
  <si>
    <t xml:space="preserve">~120 employees</t>
  </si>
  <si>
    <t xml:space="preserve">Infrastructure</t>
  </si>
  <si>
    <t xml:space="preserve">AWS-hosted (multi-AZ), web application + database tier in VPC, GitHub for source control</t>
  </si>
  <si>
    <t xml:space="preserve">Data Handled</t>
  </si>
  <si>
    <t xml:space="preserve">Customer business data (contacts, tickets, operational records) — confidential but not regulated health/financial data</t>
  </si>
  <si>
    <t xml:space="preserve">Assessment Scope</t>
  </si>
  <si>
    <t xml:space="preserve">Full Annex A (2022 revision) — 93 controls across 4 themes: Organizational (37), People (8), Physical (14), Technological (34)</t>
  </si>
  <si>
    <t xml:space="preserve">Methodology</t>
  </si>
  <si>
    <t xml:space="preserve">Each control assessed against current practice; status rated as Implemented / Partially Implemented / Not Implemented. Gaps identified, risk-rated (High/Medium/Low) based on likelihood and business impact, with remediation recommendations and a phased roadmap.</t>
  </si>
  <si>
    <t xml:space="preserve">Purpose</t>
  </si>
  <si>
    <t xml:space="preserve">Self-directed learning exercise to build practical GRC / ISO 27001 assessment experience ahead of IT Security / GRC role interviews.</t>
  </si>
  <si>
    <t xml:space="preserve">Status Legend</t>
  </si>
  <si>
    <t xml:space="preserve">Implemented</t>
  </si>
  <si>
    <t xml:space="preserve">Partially Implemented</t>
  </si>
  <si>
    <t xml:space="preserve">Not Implemented</t>
  </si>
  <si>
    <t xml:space="preserve">Risk Rating Legend</t>
  </si>
  <si>
    <t xml:space="preserve">High</t>
  </si>
  <si>
    <t xml:space="preserve">Medium</t>
  </si>
  <si>
    <t xml:space="preserve">Low</t>
  </si>
  <si>
    <t xml:space="preserve">See 'Gap Assessment' sheet for the full control register, 'Dashboard' for summary stats, and 'Remediation Roadmap' for the phased action plan.</t>
  </si>
  <si>
    <t xml:space="preserve">Control ID</t>
  </si>
  <si>
    <t xml:space="preserve">Control Name</t>
  </si>
  <si>
    <t xml:space="preserve">Theme</t>
  </si>
  <si>
    <t xml:space="preserve">Status</t>
  </si>
  <si>
    <t xml:space="preserve">Current State / Evidence</t>
  </si>
  <si>
    <t xml:space="preserve">Gap Description</t>
  </si>
  <si>
    <t xml:space="preserve">Risk Rating</t>
  </si>
  <si>
    <t xml:space="preserve">Recommended Remediation</t>
  </si>
  <si>
    <t xml:space="preserve">Owner (Role)</t>
  </si>
  <si>
    <t xml:space="preserve">Target Timeline</t>
  </si>
  <si>
    <t xml:space="preserve">A.5.1</t>
  </si>
  <si>
    <t xml:space="preserve">Policies for information security</t>
  </si>
  <si>
    <t xml:space="preserve">Organizational</t>
  </si>
  <si>
    <t xml:space="preserve">Informal IT usage guidelines doc shared during onboarding, not formally approved or periodically reviewed by management.</t>
  </si>
  <si>
    <t xml:space="preserve">No formal Information Security Policy approved by leadership; no defined review cycle.</t>
  </si>
  <si>
    <t xml:space="preserve">Draft and obtain management sign-off on a formal Information Security Policy; schedule annual review.</t>
  </si>
  <si>
    <t xml:space="preserve">IT Manager / Mgmt</t>
  </si>
  <si>
    <t xml:space="preserve">30-90 days</t>
  </si>
  <si>
    <t xml:space="preserve">A.5.2</t>
  </si>
  <si>
    <t xml:space="preserve">Information security roles and responsibilities</t>
  </si>
  <si>
    <t xml:space="preserve">IT team handles security tasks informally as part of general IT duties; no dedicated security role.</t>
  </si>
  <si>
    <t xml:space="preserve">No documented RACI for security responsibilities (risk decisions, incident response, policy approval).</t>
  </si>
  <si>
    <t xml:space="preserve">Define and document security roles (e.g., IT Manager as interim Security Lead) with clear responsibilities; budget for future dedicated hire.</t>
  </si>
  <si>
    <t xml:space="preserve">0-30 days</t>
  </si>
  <si>
    <t xml:space="preserve">A.5.3</t>
  </si>
  <si>
    <t xml:space="preserve">Segregation of duties</t>
  </si>
  <si>
    <t xml:space="preserve">Dev and ops teams are separate, but a few senior engineers have both deployment and production database access.</t>
  </si>
  <si>
    <t xml:space="preserve">No formal SoD matrix; conflicting access combinations not reviewed.</t>
  </si>
  <si>
    <t xml:space="preserve">Map SoD conflicts (dev vs prod access), restrict where possible, document compensating controls where not.</t>
  </si>
  <si>
    <t xml:space="preserve">A.5.4</t>
  </si>
  <si>
    <t xml:space="preserve">Management responsibilities</t>
  </si>
  <si>
    <t xml:space="preserve">Managers verbally remind teams about security during meetings but it's not formalized.</t>
  </si>
  <si>
    <t xml:space="preserve">No written expectation that managers enforce security policy compliance within their teams.</t>
  </si>
  <si>
    <t xml:space="preserve">Add security responsibilities to manager job descriptions/performance reviews.</t>
  </si>
  <si>
    <t xml:space="preserve">90-180 days</t>
  </si>
  <si>
    <t xml:space="preserve">A.5.5</t>
  </si>
  <si>
    <t xml:space="preserve">Contact with authorities</t>
  </si>
  <si>
    <t xml:space="preserve">No documented process for contacting law enforcement, data protection authorities, or CERTs during an incident.</t>
  </si>
  <si>
    <t xml:space="preserve">No contact list or escalation process exists.</t>
  </si>
  <si>
    <t xml:space="preserve">Create contact list (cybercrime cell, relevant data protection authority) and include in IR plan.</t>
  </si>
  <si>
    <t xml:space="preserve">A.5.6</t>
  </si>
  <si>
    <t xml:space="preserve">Contact with special interest groups</t>
  </si>
  <si>
    <t xml:space="preserve">No memberships or subscriptions to threat intel communities, ISACs, or security forums.</t>
  </si>
  <si>
    <t xml:space="preserve">No external threat awareness channel.</t>
  </si>
  <si>
    <t xml:space="preserve">Subscribe to relevant threat intel feeds (e.g., AWS security bulletins, CERT-In advisories).</t>
  </si>
  <si>
    <t xml:space="preserve">A.5.7</t>
  </si>
  <si>
    <t xml:space="preserve">Threat intelligence</t>
  </si>
  <si>
    <t xml:space="preserve">No formal threat intelligence gathering; team reacts to incidents as they occur.</t>
  </si>
  <si>
    <t xml:space="preserve">No proactive threat monitoring process.</t>
  </si>
  <si>
    <t xml:space="preserve">Subscribe to AWS Security Hub findings and relevant CVE feeds for tech stack in use.</t>
  </si>
  <si>
    <t xml:space="preserve">A.5.8</t>
  </si>
  <si>
    <t xml:space="preserve">Information security in project management</t>
  </si>
  <si>
    <t xml:space="preserve">New feature development doesn't include a security review step.</t>
  </si>
  <si>
    <t xml:space="preserve">Security not embedded in SDLC/project lifecycle.</t>
  </si>
  <si>
    <t xml:space="preserve">Add a security checklist/review gate to project planning templates for new features.</t>
  </si>
  <si>
    <t xml:space="preserve">A.5.9</t>
  </si>
  <si>
    <t xml:space="preserve">Inventory of information and other associated assets</t>
  </si>
  <si>
    <t xml:space="preserve">AWS resources tracked via console/tags, but no centralized asset register including data types, owners, criticality.</t>
  </si>
  <si>
    <t xml:space="preserve">No formal asset inventory covering hardware, software, data, and cloud resources with classification.</t>
  </si>
  <si>
    <t xml:space="preserve">Build centralized asset register (spreadsheet or CMDB) covering all assets with owner and classification.</t>
  </si>
  <si>
    <t xml:space="preserve">A.5.10</t>
  </si>
  <si>
    <t xml:space="preserve">Acceptable use of information and other associated assets</t>
  </si>
  <si>
    <t xml:space="preserve">Acceptable Use Policy exists, signed during onboarding, covers company devices and data handling.</t>
  </si>
  <si>
    <t xml:space="preserve">Not reviewed/updated since initial creation (2 years ago).</t>
  </si>
  <si>
    <t xml:space="preserve">Schedule annual policy review and re-acknowledgment by staff.</t>
  </si>
  <si>
    <t xml:space="preserve">A.5.11</t>
  </si>
  <si>
    <t xml:space="preserve">Return of assets</t>
  </si>
  <si>
    <t xml:space="preserve">Offboarding checklist includes laptop/badge return, but not consistently tracked for all items (access cards, USB drives).</t>
  </si>
  <si>
    <t xml:space="preserve">No formal sign-off form confirming all assets returned before final clearance.</t>
  </si>
  <si>
    <t xml:space="preserve">Create asset return checklist as part of formal offboarding sign-off, signed by HR and IT.</t>
  </si>
  <si>
    <t xml:space="preserve">A.5.12</t>
  </si>
  <si>
    <t xml:space="preserve">Classification of information</t>
  </si>
  <si>
    <t xml:space="preserve">All data treated the same regardless of sensitivity (customer data, internal docs, public marketing material).</t>
  </si>
  <si>
    <t xml:space="preserve">No data classification scheme (Public/Internal/Confidential/Restricted).</t>
  </si>
  <si>
    <t xml:space="preserve">Define a simple 3-4 tier classification scheme and apply it to key data repositories.</t>
  </si>
  <si>
    <t xml:space="preserve">A.5.13</t>
  </si>
  <si>
    <t xml:space="preserve">Labelling of information</t>
  </si>
  <si>
    <t xml:space="preserve">No labels (digital or physical) indicating data sensitivity on documents or files.</t>
  </si>
  <si>
    <t xml:space="preserve">Without classification (A.5.12), labelling can't be applied either.</t>
  </si>
  <si>
    <t xml:space="preserve">Once classification scheme exists, apply labels via document templates/metadata tags (e.g., 'Confidential' footer).</t>
  </si>
  <si>
    <t xml:space="preserve">A.5.14</t>
  </si>
  <si>
    <t xml:space="preserve">Information transfer</t>
  </si>
  <si>
    <t xml:space="preserve">Customer data shared internally via Slack/email; some files sent unencrypted via email attachments.</t>
  </si>
  <si>
    <t xml:space="preserve">No policy governing secure transfer methods for sensitive data (e.g., mandatory encryption, approved channels).</t>
  </si>
  <si>
    <t xml:space="preserve">Define approved secure transfer methods (encrypted email, secure file share); train staff on usage.</t>
  </si>
  <si>
    <t xml:space="preserve">A.5.15</t>
  </si>
  <si>
    <t xml:space="preserve">Access control</t>
  </si>
  <si>
    <t xml:space="preserve">AWS IAM roles exist; internal apps use role-based access, but access reviews are ad-hoc/rarely done.</t>
  </si>
  <si>
    <t xml:space="preserve">No formal Access Control Policy defining how access is granted, reviewed, revoked.</t>
  </si>
  <si>
    <t xml:space="preserve">Document Access Control Policy; implement quarterly access reviews for critical systems.</t>
  </si>
  <si>
    <t xml:space="preserve">A.5.16</t>
  </si>
  <si>
    <t xml:space="preserve">Identity management</t>
  </si>
  <si>
    <t xml:space="preserve">Employees have individual accounts for most systems, but some shared service accounts exist for automation/scripts.</t>
  </si>
  <si>
    <t xml:space="preserve">Shared accounts make it hard to trace individual actions; no formal identity lifecycle process.</t>
  </si>
  <si>
    <t xml:space="preserve">Reduce shared accounts where possible; for unavoidable ones, implement logging/checkout process.</t>
  </si>
  <si>
    <t xml:space="preserve">A.5.17</t>
  </si>
  <si>
    <t xml:space="preserve">Authentication information</t>
  </si>
  <si>
    <t xml:space="preserve">Password policy enforced (min length, complexity) via AWS IAM and internal systems; no formal password management standard document.</t>
  </si>
  <si>
    <t xml:space="preserve">No documented standard covering password rotation, MFA enforcement scope, secret storage.</t>
  </si>
  <si>
    <t xml:space="preserve">Document authentication standard; enforce MFA for all admin/privileged accounts.</t>
  </si>
  <si>
    <t xml:space="preserve">A.5.18</t>
  </si>
  <si>
    <t xml:space="preserve">Access rights</t>
  </si>
  <si>
    <t xml:space="preserve">Access granted on request/approval by manager, but revocation on role change/termination sometimes delayed.</t>
  </si>
  <si>
    <t xml:space="preserve">No formal joiner-mover-leaver (JML) process with SLA for access changes.</t>
  </si>
  <si>
    <t xml:space="preserve">Implement JML process - access provisioning/de-provisioning tied to HR triggers, with 24-hour SLA for revocation.</t>
  </si>
  <si>
    <t xml:space="preserve">A.5.19</t>
  </si>
  <si>
    <t xml:space="preserve">Information security in supplier relationships</t>
  </si>
  <si>
    <t xml:space="preserve">GridFlex uses third-party vendors (payment processor, email service) but no security assessment done before onboarding them.</t>
  </si>
  <si>
    <t xml:space="preserve">No supplier security risk assessment process.</t>
  </si>
  <si>
    <t xml:space="preserve">Create a vendor security questionnaire; assess critical suppliers before/after contracting.</t>
  </si>
  <si>
    <t xml:space="preserve">A.5.20</t>
  </si>
  <si>
    <t xml:space="preserve">Addressing information security within supplier agreements</t>
  </si>
  <si>
    <t xml:space="preserve">Standard vendor contracts focus on commercial terms; no security/data protection clauses included.</t>
  </si>
  <si>
    <t xml:space="preserve">Contracts don't specify security requirements, breach notification timelines, audit rights.</t>
  </si>
  <si>
    <t xml:space="preserve">Add standard security clauses to vendor contract templates (data protection, breach notification SLA, right to audit).</t>
  </si>
  <si>
    <t xml:space="preserve">A.5.21</t>
  </si>
  <si>
    <t xml:space="preserve">Managing information security in the ICT supply chain</t>
  </si>
  <si>
    <t xml:space="preserve">No process to assess security practices of software/cloud sub-suppliers used by vendors.</t>
  </si>
  <si>
    <t xml:space="preserve">ICT supply chain risk unaddressed.</t>
  </si>
  <si>
    <t xml:space="preserve">Include supply-chain security questions in vendor assessments (A.5.19).</t>
  </si>
  <si>
    <t xml:space="preserve">A.5.22</t>
  </si>
  <si>
    <t xml:space="preserve">Monitoring, review and change management of supplier services</t>
  </si>
  <si>
    <t xml:space="preserve">Vendor performance reviewed informally (uptime complaints), no security monitoring.</t>
  </si>
  <si>
    <t xml:space="preserve">No periodic supplier security review.</t>
  </si>
  <si>
    <t xml:space="preserve">Annual supplier security review for critical vendors; track changes to their services/security posture.</t>
  </si>
  <si>
    <t xml:space="preserve">A.5.23</t>
  </si>
  <si>
    <t xml:space="preserve">Information security for use of cloud services</t>
  </si>
  <si>
    <t xml:space="preserve">AWS used as primary cloud provider; basic IAM and security groups configured, but no formal cloud security policy.</t>
  </si>
  <si>
    <t xml:space="preserve">No documented cloud usage policy; shared responsibility model not formally documented.</t>
  </si>
  <si>
    <t xml:space="preserve">Document cloud security policy covering AWS shared responsibility model, configuration standards, approval for new cloud services.</t>
  </si>
  <si>
    <t xml:space="preserve">A.5.24</t>
  </si>
  <si>
    <t xml:space="preserve">Information security incident management planning and preparation</t>
  </si>
  <si>
    <t xml:space="preserve">Team responded effectively to a major incident informally - no written IR plan.</t>
  </si>
  <si>
    <t xml:space="preserve">No documented Incident Response Plan with roles, escalation paths, communication templates.</t>
  </si>
  <si>
    <t xml:space="preserve">Create formal IR plan covering detection, triage, containment, communication, and recovery roles.</t>
  </si>
  <si>
    <t xml:space="preserve">A.5.25</t>
  </si>
  <si>
    <t xml:space="preserve">Assessment and decision on information security events</t>
  </si>
  <si>
    <t xml:space="preserve">Security alerts (e.g., AWS GuardDuty) reviewed inconsistently; no defined criteria for what counts as an incident.</t>
  </si>
  <si>
    <t xml:space="preserve">No event classification/triage criteria.</t>
  </si>
  <si>
    <t xml:space="preserve">Define event severity levels and escalation criteria as part of IR plan.</t>
  </si>
  <si>
    <t xml:space="preserve">A.5.26</t>
  </si>
  <si>
    <t xml:space="preserve">Response to information security incidents</t>
  </si>
  <si>
    <t xml:space="preserve">Ad-hoc response performed during past incidents; resolved but undocumented steps.</t>
  </si>
  <si>
    <t xml:space="preserve">No standardized response playbooks for common incident types (compromised credentials, malware).</t>
  </si>
  <si>
    <t xml:space="preserve">Build incident-specific playbooks (phishing, ransomware, data leak) mapped to IR plan.</t>
  </si>
  <si>
    <t xml:space="preserve">A.5.27</t>
  </si>
  <si>
    <t xml:space="preserve">Learning from information security incidents</t>
  </si>
  <si>
    <t xml:space="preserve">No post-incident review process; fixes applied but lessons not documented/shared.</t>
  </si>
  <si>
    <t xml:space="preserve">No formal post-incident review (PIR) process.</t>
  </si>
  <si>
    <t xml:space="preserve">Conduct PIR after each incident; maintain lessons-learned log feeding into policy/control updates.</t>
  </si>
  <si>
    <t xml:space="preserve">A.5.28</t>
  </si>
  <si>
    <t xml:space="preserve">Collection of evidence</t>
  </si>
  <si>
    <t xml:space="preserve">No formal procedure for preserving logs/evidence during an incident (chain of custody).</t>
  </si>
  <si>
    <t xml:space="preserve">Risk of evidence being overwritten or inadmissible if legal action needed.</t>
  </si>
  <si>
    <t xml:space="preserve">Define evidence collection procedure - log retention, secure storage, chain of custody documentation.</t>
  </si>
  <si>
    <t xml:space="preserve">A.5.29</t>
  </si>
  <si>
    <t xml:space="preserve">Information security during disruption</t>
  </si>
  <si>
    <t xml:space="preserve">No documented plan for maintaining security controls during a disruption (disaster, pandemic-style remote shift).</t>
  </si>
  <si>
    <t xml:space="preserve">Security continuity not addressed in BCP.</t>
  </si>
  <si>
    <t xml:space="preserve">Define minimum security controls to maintain during disruption (e.g., MFA still enforced, logging continues).</t>
  </si>
  <si>
    <t xml:space="preserve">A.5.30</t>
  </si>
  <si>
    <t xml:space="preserve">ICT readiness for business continuity</t>
  </si>
  <si>
    <t xml:space="preserve">AWS multi-AZ setup provides some resilience, but no tested DR plan or RTO/RPO targets defined.</t>
  </si>
  <si>
    <t xml:space="preserve">No documented/tested ICT continuity plan.</t>
  </si>
  <si>
    <t xml:space="preserve">Define RTO/RPO for key systems; document and test a DR plan annually.</t>
  </si>
  <si>
    <t xml:space="preserve">A.5.31</t>
  </si>
  <si>
    <t xml:space="preserve">Legal, statutory, regulatory and contractual requirements</t>
  </si>
  <si>
    <t xml:space="preserve">Aware of basic obligations (data protection laws for customer regions) but no centralized register.</t>
  </si>
  <si>
    <t xml:space="preserve">No documented register of applicable legal/regulatory/contractual security requirements.</t>
  </si>
  <si>
    <t xml:space="preserve">Build a compliance register listing applicable laws (GDPR, India DPDP Act, etc.) and contractual obligations.</t>
  </si>
  <si>
    <t xml:space="preserve">A.5.32</t>
  </si>
  <si>
    <t xml:space="preserve">Intellectual property rights</t>
  </si>
  <si>
    <t xml:space="preserve">Employment contracts include IP assignment clauses; software licenses tracked informally.</t>
  </si>
  <si>
    <t xml:space="preserve">No periodic audit of software license compliance (open-source usage, paid tool licenses).</t>
  </si>
  <si>
    <t xml:space="preserve">Conduct annual software license/IP compliance review, including OSS license checks.</t>
  </si>
  <si>
    <t xml:space="preserve">A.5.33</t>
  </si>
  <si>
    <t xml:space="preserve">Protection of records</t>
  </si>
  <si>
    <t xml:space="preserve">Important records (contracts, financial docs) stored in shared drives with basic access restriction.</t>
  </si>
  <si>
    <t xml:space="preserve">No defined retention schedule or protection against unauthorized alteration.</t>
  </si>
  <si>
    <t xml:space="preserve">Define record retention policy and access controls per record type.</t>
  </si>
  <si>
    <t xml:space="preserve">A.5.34</t>
  </si>
  <si>
    <t xml:space="preserve">Privacy and protection of PII</t>
  </si>
  <si>
    <t xml:space="preserve">Customer PII stored in AWS RDS, encrypted at rest; no formal privacy policy/DPIA process.</t>
  </si>
  <si>
    <t xml:space="preserve">No Privacy Policy covering PII handling; no DPIAs for new features touching PII.</t>
  </si>
  <si>
    <t xml:space="preserve">Create Privacy Policy; introduce DPIA template for new features processing PII.</t>
  </si>
  <si>
    <t xml:space="preserve">A.5.35</t>
  </si>
  <si>
    <t xml:space="preserve">Independent review of information security</t>
  </si>
  <si>
    <t xml:space="preserve">No internal audit function or external security review has been conducted.</t>
  </si>
  <si>
    <t xml:space="preserve">No periodic independent assurance of ISMS effectiveness.</t>
  </si>
  <si>
    <t xml:space="preserve">Plan annual internal audit (self-assessment) and periodic external penetration test.</t>
  </si>
  <si>
    <t xml:space="preserve">A.5.36</t>
  </si>
  <si>
    <t xml:space="preserve">Compliance with policies, rules and standards for information security</t>
  </si>
  <si>
    <t xml:space="preserve">No mechanism to check whether teams actually follow IT/security policies day-to-day.</t>
  </si>
  <si>
    <t xml:space="preserve">No compliance monitoring/checks.</t>
  </si>
  <si>
    <t xml:space="preserve">Introduce periodic compliance spot-checks (e.g., quarterly access reviews, policy acknowledgment audits).</t>
  </si>
  <si>
    <t xml:space="preserve">A.5.37</t>
  </si>
  <si>
    <t xml:space="preserve">Documented operating procedures</t>
  </si>
  <si>
    <t xml:space="preserve">Some SOPs exist for IT support tasks (onboarding, ticket handling) but security operations (backup, patching) aren't documented.</t>
  </si>
  <si>
    <t xml:space="preserve">No SOPs for key security operations.</t>
  </si>
  <si>
    <t xml:space="preserve">Document SOPs for backup, patching, access provisioning, and incident response.</t>
  </si>
  <si>
    <t xml:space="preserve">A.6.1</t>
  </si>
  <si>
    <t xml:space="preserve">Screening</t>
  </si>
  <si>
    <t xml:space="preserve">People</t>
  </si>
  <si>
    <t xml:space="preserve">Basic reference checks done during hiring; no formal background verification for sensitive roles.</t>
  </si>
  <si>
    <t xml:space="preserve">No documented screening policy proportional to role sensitivity.</t>
  </si>
  <si>
    <t xml:space="preserve">Define screening requirements per role type (e.g., enhanced checks for engineers with prod access).</t>
  </si>
  <si>
    <t xml:space="preserve">HR / IT Manager</t>
  </si>
  <si>
    <t xml:space="preserve">A.6.2</t>
  </si>
  <si>
    <t xml:space="preserve">Terms and conditions of employment</t>
  </si>
  <si>
    <t xml:space="preserve">Employment contracts include confidentiality and acceptable use clauses.</t>
  </si>
  <si>
    <t xml:space="preserve">Not reviewed since company's early days.</t>
  </si>
  <si>
    <t xml:space="preserve">Review contract templates to ensure they reflect current security policies.</t>
  </si>
  <si>
    <t xml:space="preserve">A.6.3</t>
  </si>
  <si>
    <t xml:space="preserve">Information security awareness, education and training</t>
  </si>
  <si>
    <t xml:space="preserve">Security topics covered briefly during onboarding only; no ongoing training.</t>
  </si>
  <si>
    <t xml:space="preserve">No annual security awareness program (phishing simulations, policy refreshers).</t>
  </si>
  <si>
    <t xml:space="preserve">Implement annual security awareness training + periodic phishing simulation exercises.</t>
  </si>
  <si>
    <t xml:space="preserve">A.6.4</t>
  </si>
  <si>
    <t xml:space="preserve">Disciplinary process</t>
  </si>
  <si>
    <t xml:space="preserve">HR has a general disciplinary process covering policy violations, including security policy breaches.</t>
  </si>
  <si>
    <t xml:space="preserve">None significant.</t>
  </si>
  <si>
    <t xml:space="preserve">Ensure security violations are explicitly referenced in disciplinary policy documentation.</t>
  </si>
  <si>
    <t xml:space="preserve">A.6.5</t>
  </si>
  <si>
    <t xml:space="preserve">Responsibilities after termination or change of employment</t>
  </si>
  <si>
    <t xml:space="preserve">Access revoked on termination (sometimes with delay); confidentiality obligations continue per contract.</t>
  </si>
  <si>
    <t xml:space="preserve">Timing/SLA for access revocation not enforced (links to A.5.18).</t>
  </si>
  <si>
    <t xml:space="preserve">Tie termination process to immediate access revocation via JML process.</t>
  </si>
  <si>
    <t xml:space="preserve">A.6.6</t>
  </si>
  <si>
    <t xml:space="preserve">Confidentiality or non-disclosure agreements</t>
  </si>
  <si>
    <t xml:space="preserve">NDAs signed by employees and key vendors/contractors.</t>
  </si>
  <si>
    <t xml:space="preserve">Not all contractors covered consistently.</t>
  </si>
  <si>
    <t xml:space="preserve">Ensure NDA execution is a mandatory step in all contractor onboarding.</t>
  </si>
  <si>
    <t xml:space="preserve">A.6.7</t>
  </si>
  <si>
    <t xml:space="preserve">Remote working</t>
  </si>
  <si>
    <t xml:space="preserve">Many employees work remotely using personal/company devices; VPN used for some access, but no formal remote work security policy.</t>
  </si>
  <si>
    <t xml:space="preserve">No documented controls for remote work (device security baseline, secure Wi-Fi requirements, VPN mandates).</t>
  </si>
  <si>
    <t xml:space="preserve">Create Remote Working Policy covering device security, VPN/MFA requirements, secure home network guidance.</t>
  </si>
  <si>
    <t xml:space="preserve">A.6.8</t>
  </si>
  <si>
    <t xml:space="preserve">Information security event reporting</t>
  </si>
  <si>
    <t xml:space="preserve">No clear channel/process for employees to report suspected security incidents (e.g., phishing emails).</t>
  </si>
  <si>
    <t xml:space="preserve">No reporting mechanism or awareness of how/where to report.</t>
  </si>
  <si>
    <t xml:space="preserve">Set up dedicated reporting channel (e.g., security@gridflex.com) and communicate it org-wide.</t>
  </si>
  <si>
    <t xml:space="preserve">A.7.1</t>
  </si>
  <si>
    <t xml:space="preserve">Physical security perimeters</t>
  </si>
  <si>
    <t xml:space="preserve">Physical</t>
  </si>
  <si>
    <t xml:space="preserve">Office has locked main entrance with keycard access; no perimeter security assessment done.</t>
  </si>
  <si>
    <t xml:space="preserve">No defined physical security perimeter standard.</t>
  </si>
  <si>
    <t xml:space="preserve">Document physical perimeter controls as part of facilities security policy.</t>
  </si>
  <si>
    <t xml:space="preserve">Facilities / IT</t>
  </si>
  <si>
    <t xml:space="preserve">A.7.2</t>
  </si>
  <si>
    <t xml:space="preserve">Physical entry</t>
  </si>
  <si>
    <t xml:space="preserve">Keycard access required for office entry; visitors signed in at reception.</t>
  </si>
  <si>
    <t xml:space="preserve">Visitor badges not always tracked for return.</t>
  </si>
  <si>
    <t xml:space="preserve">Add visitor badge tracking/return step to entry log process.</t>
  </si>
  <si>
    <t xml:space="preserve">A.7.3</t>
  </si>
  <si>
    <t xml:space="preserve">Securing offices, rooms and facilities</t>
  </si>
  <si>
    <t xml:space="preserve">Server/network equipment room is locked, but key access not logged.</t>
  </si>
  <si>
    <t xml:space="preserve">No access log for sensitive rooms.</t>
  </si>
  <si>
    <t xml:space="preserve">Implement keycard or logged access for server room; restrict to IT staff only.</t>
  </si>
  <si>
    <t xml:space="preserve">A.7.4</t>
  </si>
  <si>
    <t xml:space="preserve">Physical security monitoring</t>
  </si>
  <si>
    <t xml:space="preserve">CCTV covers main entrance/common areas, not server room.</t>
  </si>
  <si>
    <t xml:space="preserve">No monitoring of sensitive areas; footage retention period undefined.</t>
  </si>
  <si>
    <t xml:space="preserve">Extend CCTV coverage to server room; define footage retention period (30-90 days).</t>
  </si>
  <si>
    <t xml:space="preserve">A.7.5</t>
  </si>
  <si>
    <t xml:space="preserve">Protecting against physical and environmental threats</t>
  </si>
  <si>
    <t xml:space="preserve">Server room has AC for temperature control; no fire suppression system or water leak detection.</t>
  </si>
  <si>
    <t xml:space="preserve">No fire detection/suppression in server room.</t>
  </si>
  <si>
    <t xml:space="preserve">Install smoke detectors and basic fire suppression in the server room.</t>
  </si>
  <si>
    <t xml:space="preserve">A.7.6</t>
  </si>
  <si>
    <t xml:space="preserve">Working in secure areas</t>
  </si>
  <si>
    <t xml:space="preserve">No specific rules for behavior in server room (escorting visitors, photography).</t>
  </si>
  <si>
    <t xml:space="preserve">No secure area working rules documented.</t>
  </si>
  <si>
    <t xml:space="preserve">Define basic rules for server room access/behavior; post signage.</t>
  </si>
  <si>
    <t xml:space="preserve">A.7.7</t>
  </si>
  <si>
    <t xml:space="preserve">Clear desk and clear screen</t>
  </si>
  <si>
    <t xml:space="preserve">No policy; employees often leave laptops unlocked at desks.</t>
  </si>
  <si>
    <t xml:space="preserve">No clear desk/clear screen policy or enforcement (auto-lock settings).</t>
  </si>
  <si>
    <t xml:space="preserve">Implement Clear Desk/Clear Screen policy; enforce auto-lock after 5 mins via device management.</t>
  </si>
  <si>
    <t xml:space="preserve">A.7.8</t>
  </si>
  <si>
    <t xml:space="preserve">Equipment siting and protection</t>
  </si>
  <si>
    <t xml:space="preserve">Server racks placed away from windows/water sources, on raised flooring.</t>
  </si>
  <si>
    <t xml:space="preserve">Periodically review equipment placement during office changes.</t>
  </si>
  <si>
    <t xml:space="preserve">A.7.9</t>
  </si>
  <si>
    <t xml:space="preserve">Security of assets off-premises</t>
  </si>
  <si>
    <t xml:space="preserve">Remote employees use company laptops with basic antivirus; no formal off-premises asset policy.</t>
  </si>
  <si>
    <t xml:space="preserve">No tracking of asset location/condition for remote devices.</t>
  </si>
  <si>
    <t xml:space="preserve">Maintain asset register including remote device locations; require periodic device check-ins.</t>
  </si>
  <si>
    <t xml:space="preserve">A.7.10</t>
  </si>
  <si>
    <t xml:space="preserve">Storage media</t>
  </si>
  <si>
    <t xml:space="preserve">USB drives used occasionally for data transfer without encryption controls.</t>
  </si>
  <si>
    <t xml:space="preserve">No policy on use/disposal of removable media.</t>
  </si>
  <si>
    <t xml:space="preserve">Restrict/encrypt removable media usage; define secure disposal process for old drives.</t>
  </si>
  <si>
    <t xml:space="preserve">A.7.11</t>
  </si>
  <si>
    <t xml:space="preserve">Supporting utilities</t>
  </si>
  <si>
    <t xml:space="preserve">Office has backup power (UPS) for critical equipment, but no generator for extended outages.</t>
  </si>
  <si>
    <t xml:space="preserve">No documented utility resilience plan.</t>
  </si>
  <si>
    <t xml:space="preserve">Document UPS coverage and test periodically; assess need for extended backup power.</t>
  </si>
  <si>
    <t xml:space="preserve">A.7.12</t>
  </si>
  <si>
    <t xml:space="preserve">Cabling security</t>
  </si>
  <si>
    <t xml:space="preserve">Network cabling is routed through secured conduits within the office.</t>
  </si>
  <si>
    <t xml:space="preserve">Periodic visual inspection during office maintenance.</t>
  </si>
  <si>
    <t xml:space="preserve">A.7.13</t>
  </si>
  <si>
    <t xml:space="preserve">Equipment maintenance</t>
  </si>
  <si>
    <t xml:space="preserve">IT performs ad-hoc hardware maintenance/patching; no maintenance schedule documented.</t>
  </si>
  <si>
    <t xml:space="preserve">No formal equipment maintenance schedule/log.</t>
  </si>
  <si>
    <t xml:space="preserve">Create maintenance schedule and log for critical hardware (servers, network devices).</t>
  </si>
  <si>
    <t xml:space="preserve">A.7.14</t>
  </si>
  <si>
    <t xml:space="preserve">Secure disposal or re-use of equipment</t>
  </si>
  <si>
    <t xml:space="preserve">Old laptops/hard drives stored in a cupboard; no secure wiping process before disposal/reuse.</t>
  </si>
  <si>
    <t xml:space="preserve">Risk of data leakage from disposed equipment.</t>
  </si>
  <si>
    <t xml:space="preserve">Implement certified data wiping (or physical destruction) before disposal/reuse; maintain disposal log.</t>
  </si>
  <si>
    <t xml:space="preserve">A.8.1</t>
  </si>
  <si>
    <t xml:space="preserve">User end point devices</t>
  </si>
  <si>
    <t xml:space="preserve">Technological</t>
  </si>
  <si>
    <t xml:space="preserve">Company laptops have antivirus and disk encryption on most devices; some older devices not yet encrypted.</t>
  </si>
  <si>
    <t xml:space="preserve">Inconsistent endpoint hardening baseline.</t>
  </si>
  <si>
    <t xml:space="preserve">Apply standard endpoint hardening baseline (encryption, AV, screen lock) to all devices via MDM.</t>
  </si>
  <si>
    <t xml:space="preserve">IT / Engineering</t>
  </si>
  <si>
    <t xml:space="preserve">A.8.2</t>
  </si>
  <si>
    <t xml:space="preserve">Privileged access rights</t>
  </si>
  <si>
    <t xml:space="preserve">AWS root account access restricted to 2 senior engineers; IAM admin roles assigned but not regularly reviewed.</t>
  </si>
  <si>
    <t xml:space="preserve">No periodic review of privileged accounts.</t>
  </si>
  <si>
    <t xml:space="preserve">Quarterly review of all privileged accounts; enforce MFA for all privileged access.</t>
  </si>
  <si>
    <t xml:space="preserve">A.8.3</t>
  </si>
  <si>
    <t xml:space="preserve">Information access restriction</t>
  </si>
  <si>
    <t xml:space="preserve">Application-level RBAC restricts customer data access by role; database access broader than necessary for some dev roles.</t>
  </si>
  <si>
    <t xml:space="preserve">Dev environments sometimes have access to production-like data.</t>
  </si>
  <si>
    <t xml:space="preserve">Restrict prod data access; use masked/synthetic data in dev/test environments.</t>
  </si>
  <si>
    <t xml:space="preserve">A.8.4</t>
  </si>
  <si>
    <t xml:space="preserve">Access to source code</t>
  </si>
  <si>
    <t xml:space="preserve">Source code hosted on GitHub with branch protection and access limited to engineering team.</t>
  </si>
  <si>
    <t xml:space="preserve">Periodically review repo access list for departed employees.</t>
  </si>
  <si>
    <t xml:space="preserve">A.8.5</t>
  </si>
  <si>
    <t xml:space="preserve">Secure authentication</t>
  </si>
  <si>
    <t xml:space="preserve">MFA enabled for AWS console and GitHub; not enforced for all internal SaaS tools (email, Slack).</t>
  </si>
  <si>
    <t xml:space="preserve">Inconsistent MFA enforcement across all systems.</t>
  </si>
  <si>
    <t xml:space="preserve">Enforce MFA org-wide for all business-critical SaaS applications.</t>
  </si>
  <si>
    <t xml:space="preserve">A.8.6</t>
  </si>
  <si>
    <t xml:space="preserve">Capacity management</t>
  </si>
  <si>
    <t xml:space="preserve">AWS auto-scaling configured for production app servers; no formal capacity planning/forecasting process.</t>
  </si>
  <si>
    <t xml:space="preserve">No documented capacity monitoring/forecasting for storage, DB, bandwidth.</t>
  </si>
  <si>
    <t xml:space="preserve">Set up CloudWatch alerts for capacity thresholds; review usage trends quarterly.</t>
  </si>
  <si>
    <t xml:space="preserve">A.8.7</t>
  </si>
  <si>
    <t xml:space="preserve">Protection against malware</t>
  </si>
  <si>
    <t xml:space="preserve">Endpoint antivirus deployed on all company laptops; email gateway has basic malware scanning.</t>
  </si>
  <si>
    <t xml:space="preserve">No periodic testing of malware defenses.</t>
  </si>
  <si>
    <t xml:space="preserve">Periodically test AV effectiveness (e.g., EICAR test file); ensure signatures auto-update.</t>
  </si>
  <si>
    <t xml:space="preserve">A.8.8</t>
  </si>
  <si>
    <t xml:space="preserve">Management of technical vulnerabilities</t>
  </si>
  <si>
    <t xml:space="preserve">Occasional Nessus-style scans done informally; no formal patch management cycle.</t>
  </si>
  <si>
    <t xml:space="preserve">No documented vulnerability management process with remediation SLAs by severity.</t>
  </si>
  <si>
    <t xml:space="preserve">Implement regular vulnerability scanning (monthly) with remediation SLAs (Critical: 7 days, High: 30 days).</t>
  </si>
  <si>
    <t xml:space="preserve">A.8.9</t>
  </si>
  <si>
    <t xml:space="preserve">Configuration management</t>
  </si>
  <si>
    <t xml:space="preserve">Server/cloud configurations set up manually; no configuration baseline or drift detection.</t>
  </si>
  <si>
    <t xml:space="preserve">No standardized secure configuration baselines (CIS benchmarks) or IaC.</t>
  </si>
  <si>
    <t xml:space="preserve">Define secure configuration baselines using CIS AWS Foundations Benchmark; consider IaC (Terraform) for consistency.</t>
  </si>
  <si>
    <t xml:space="preserve">A.8.10</t>
  </si>
  <si>
    <t xml:space="preserve">Information deletion</t>
  </si>
  <si>
    <t xml:space="preserve">Customer data retained indefinitely even after account closure; no deletion process.</t>
  </si>
  <si>
    <t xml:space="preserve">No data retention/deletion policy or automated process.</t>
  </si>
  <si>
    <t xml:space="preserve">Define retention periods; implement automated deletion of data after retention period or account closure.</t>
  </si>
  <si>
    <t xml:space="preserve">A.8.11</t>
  </si>
  <si>
    <t xml:space="preserve">Data masking</t>
  </si>
  <si>
    <t xml:space="preserve">Real customer data used in dev/staging environments.</t>
  </si>
  <si>
    <t xml:space="preserve">No data masking/anonymization for non-production environments.</t>
  </si>
  <si>
    <t xml:space="preserve">Implement data masking/synthetic data generation for dev/test environments.</t>
  </si>
  <si>
    <t xml:space="preserve">A.8.12</t>
  </si>
  <si>
    <t xml:space="preserve">Data leakage prevention</t>
  </si>
  <si>
    <t xml:space="preserve">No DLP tooling; employees can freely upload files to personal cloud storage from work devices.</t>
  </si>
  <si>
    <t xml:space="preserve">No controls preventing exfiltration of sensitive data.</t>
  </si>
  <si>
    <t xml:space="preserve">Implement basic DLP controls (block uploads to unsanctioned cloud storage via proxy/firewall rules).</t>
  </si>
  <si>
    <t xml:space="preserve">A.8.13</t>
  </si>
  <si>
    <t xml:space="preserve">Information backup</t>
  </si>
  <si>
    <t xml:space="preserve">AWS RDS automated daily backups with point-in-time recovery enabled.</t>
  </si>
  <si>
    <t xml:space="preserve">Backup restoration not tested periodically.</t>
  </si>
  <si>
    <t xml:space="preserve">Conduct periodic backup restoration tests (quarterly).</t>
  </si>
  <si>
    <t xml:space="preserve">A.8.14</t>
  </si>
  <si>
    <t xml:space="preserve">Redundancy of information processing facilities</t>
  </si>
  <si>
    <t xml:space="preserve">Production deployed across multiple AWS Availability Zones.</t>
  </si>
  <si>
    <t xml:space="preserve">No multi-region failover for disaster scenarios.</t>
  </si>
  <si>
    <t xml:space="preserve">Evaluate need for multi-region DR setup based on RTO requirements (A.5.30).</t>
  </si>
  <si>
    <t xml:space="preserve">A.8.15</t>
  </si>
  <si>
    <t xml:space="preserve">Logging</t>
  </si>
  <si>
    <t xml:space="preserve">AWS CloudTrail enabled for API logging; application-level logging exists but not centralized.</t>
  </si>
  <si>
    <t xml:space="preserve">Logs not aggregated/correlated centrally; retention period undefined.</t>
  </si>
  <si>
    <t xml:space="preserve">Centralize logs (via ELK/CloudWatch Logs); define retention period (1 year for security logs).</t>
  </si>
  <si>
    <t xml:space="preserve">A.8.16</t>
  </si>
  <si>
    <t xml:space="preserve">Monitoring activities</t>
  </si>
  <si>
    <t xml:space="preserve">AWS GuardDuty enabled for threat detection; alerts reviewed inconsistently.</t>
  </si>
  <si>
    <t xml:space="preserve">No defined SLA for reviewing/responding to security alerts.</t>
  </si>
  <si>
    <t xml:space="preserve">Assign responsibility for daily alert review; define response SLA by severity.</t>
  </si>
  <si>
    <t xml:space="preserve">A.8.17</t>
  </si>
  <si>
    <t xml:space="preserve">Clock synchronization</t>
  </si>
  <si>
    <t xml:space="preserve">All servers use NTP for time sync (AWS default).</t>
  </si>
  <si>
    <t xml:space="preserve">Periodically verify NTP sync is functioning across all systems.</t>
  </si>
  <si>
    <t xml:space="preserve">A.8.18</t>
  </si>
  <si>
    <t xml:space="preserve">Use of privileged utility programs</t>
  </si>
  <si>
    <t xml:space="preserve">No restrictions on use of system utilities (debugging tools, admin scripts) by engineers with elevated access.</t>
  </si>
  <si>
    <t xml:space="preserve">No monitoring/logging of privileged utility usage.</t>
  </si>
  <si>
    <t xml:space="preserve">Log usage of privileged commands/utilities on production systems; restrict to authorized personnel.</t>
  </si>
  <si>
    <t xml:space="preserve">A.8.19</t>
  </si>
  <si>
    <t xml:space="preserve">Installation of software on operational systems</t>
  </si>
  <si>
    <t xml:space="preserve">Developers can install any software/packages on production-adjacent systems without approval.</t>
  </si>
  <si>
    <t xml:space="preserve">No software installation approval/change control process.</t>
  </si>
  <si>
    <t xml:space="preserve">Require change approval for new software installations on production systems.</t>
  </si>
  <si>
    <t xml:space="preserve">A.8.20</t>
  </si>
  <si>
    <t xml:space="preserve">Networks security</t>
  </si>
  <si>
    <t xml:space="preserve">AWS security groups restrict inbound traffic; VPC configured with public/private subnets.</t>
  </si>
  <si>
    <t xml:space="preserve">No periodic review of security group rules for overly permissive entries.</t>
  </si>
  <si>
    <t xml:space="preserve">Quarterly review of security group/firewall rules; remove unused/overly permissive rules.</t>
  </si>
  <si>
    <t xml:space="preserve">A.8.21</t>
  </si>
  <si>
    <t xml:space="preserve">Security of network services</t>
  </si>
  <si>
    <t xml:space="preserve">Third-party network services (DNS, CDN via CloudFront) used; security configs not formally reviewed.</t>
  </si>
  <si>
    <t xml:space="preserve">No documented review of security configurations for network services.</t>
  </si>
  <si>
    <t xml:space="preserve">Review and document security settings for DNS/CDN/load balancer configurations.</t>
  </si>
  <si>
    <t xml:space="preserve">A.8.22</t>
  </si>
  <si>
    <t xml:space="preserve">Segregation of networks</t>
  </si>
  <si>
    <t xml:space="preserve">AWS VPC has public and private subnets separating web tier from database tier.</t>
  </si>
  <si>
    <t xml:space="preserve">No network segmentation for internal corporate network (office Wi-Fi shared across all staff/guests).</t>
  </si>
  <si>
    <t xml:space="preserve">Implement separate guest Wi-Fi network from corporate network.</t>
  </si>
  <si>
    <t xml:space="preserve">A.8.23</t>
  </si>
  <si>
    <t xml:space="preserve">Web filtering</t>
  </si>
  <si>
    <t xml:space="preserve">No web filtering on corporate network/devices; employees can access any website.</t>
  </si>
  <si>
    <t xml:space="preserve">No protection against access to malicious/inappropriate sites.</t>
  </si>
  <si>
    <t xml:space="preserve">Implement basic DNS-based web filtering (e.g., Cisco Umbrella) on corporate devices.</t>
  </si>
  <si>
    <t xml:space="preserve">A.8.24</t>
  </si>
  <si>
    <t xml:space="preserve">Use of cryptography</t>
  </si>
  <si>
    <t xml:space="preserve">Data encrypted in transit (TLS) and at rest (AWS RDS/S3 encryption); no formal cryptography policy/key management standard.</t>
  </si>
  <si>
    <t xml:space="preserve">No documented cryptography policy covering algorithm standards, key rotation.</t>
  </si>
  <si>
    <t xml:space="preserve">Document cryptography policy; implement AWS KMS key rotation schedule.</t>
  </si>
  <si>
    <t xml:space="preserve">A.8.25</t>
  </si>
  <si>
    <t xml:space="preserve">Secure development life cycle</t>
  </si>
  <si>
    <t xml:space="preserve">Development follows agile sprints but no security gates (security requirements, code review for security, pre-release testing).</t>
  </si>
  <si>
    <t xml:space="preserve">Security not embedded in SDLC stages.</t>
  </si>
  <si>
    <t xml:space="preserve">Embed security activities into SDLC (threat modeling, secure code review, pre-release security testing).</t>
  </si>
  <si>
    <t xml:space="preserve">A.8.26</t>
  </si>
  <si>
    <t xml:space="preserve">Application security requirements</t>
  </si>
  <si>
    <t xml:space="preserve">Functional requirements documented for new features; security requirements (authentication, input validation) not explicitly specified.</t>
  </si>
  <si>
    <t xml:space="preserve">No security requirements gathering for new development.</t>
  </si>
  <si>
    <t xml:space="preserve">Add a security requirements checklist to feature specification templates (OWASP ASVS-based).</t>
  </si>
  <si>
    <t xml:space="preserve">A.8.27</t>
  </si>
  <si>
    <t xml:space="preserve">Secure system architecture and engineering principles</t>
  </si>
  <si>
    <t xml:space="preserve">System architecture designed for functionality/scalability; security-by-design principles not formally applied.</t>
  </si>
  <si>
    <t xml:space="preserve">No documented secure architecture principles/standards.</t>
  </si>
  <si>
    <t xml:space="preserve">Adopt secure architecture principles (defense in depth, least privilege, fail securely) into architecture review process.</t>
  </si>
  <si>
    <t xml:space="preserve">A.8.28</t>
  </si>
  <si>
    <t xml:space="preserve">Secure coding</t>
  </si>
  <si>
    <t xml:space="preserve">No secure coding standards/guidelines; code reviews focus on functionality, not security (injection, XSS checks).</t>
  </si>
  <si>
    <t xml:space="preserve">No secure coding training or standards (e.g., OWASP Top 10 awareness).</t>
  </si>
  <si>
    <t xml:space="preserve">Adopt secure coding guidelines based on OWASP Top 10; train developers; add security checks to code review checklist.</t>
  </si>
  <si>
    <t xml:space="preserve">A.8.29</t>
  </si>
  <si>
    <t xml:space="preserve">Security testing in development and acceptance</t>
  </si>
  <si>
    <t xml:space="preserve">QA testing focuses on functional test cases; no security testing (SAST/DAST/pen testing) before release.</t>
  </si>
  <si>
    <t xml:space="preserve">No security testing integrated into CI/CD or pre-release process.</t>
  </si>
  <si>
    <t xml:space="preserve">Integrate automated SAST/DAST tools into CI/CD pipeline; conduct periodic penetration testing.</t>
  </si>
  <si>
    <t xml:space="preserve">A.8.30</t>
  </si>
  <si>
    <t xml:space="preserve">Outsourced development</t>
  </si>
  <si>
    <t xml:space="preserve">No outsourced development currently, but no policy exists if this changes in future.</t>
  </si>
  <si>
    <t xml:space="preserve">No security requirements defined for future outsourced development.</t>
  </si>
  <si>
    <t xml:space="preserve">Draft security requirements for outsourced development contracts (code review rights, security testing requirements) for future use.</t>
  </si>
  <si>
    <t xml:space="preserve">A.8.31</t>
  </si>
  <si>
    <t xml:space="preserve">Separation of development, test and production environments</t>
  </si>
  <si>
    <t xml:space="preserve">Separate AWS accounts/environments exist for dev, staging, and production.</t>
  </si>
  <si>
    <t xml:space="preserve">Some shared credentials/configs used across environments (overlaps with A.8.3).</t>
  </si>
  <si>
    <t xml:space="preserve">Ensure fully separate credentials and configurations per environment; restrict cross-environment access.</t>
  </si>
  <si>
    <t xml:space="preserve">A.8.32</t>
  </si>
  <si>
    <t xml:space="preserve">Change management</t>
  </si>
  <si>
    <t xml:space="preserve">Code changes go through pull request review before deployment; no formal change management for infrastructure changes.</t>
  </si>
  <si>
    <t xml:space="preserve">No documented change management process for infrastructure/config changes (especially production AWS changes).</t>
  </si>
  <si>
    <t xml:space="preserve">Extend change management process to cover infrastructure changes - require review/approval before production changes.</t>
  </si>
  <si>
    <t xml:space="preserve">A.8.33</t>
  </si>
  <si>
    <t xml:space="preserve">Test information</t>
  </si>
  <si>
    <t xml:space="preserve">Test environments sometimes use copies of production data without sanitization.</t>
  </si>
  <si>
    <t xml:space="preserve">Overlaps with A.8.11 - sensitive test data not protected.</t>
  </si>
  <si>
    <t xml:space="preserve">Use anonymized/synthetic data for testing; if production data must be used, apply masking first.</t>
  </si>
  <si>
    <t xml:space="preserve">A.8.34</t>
  </si>
  <si>
    <t xml:space="preserve">Protection of information systems during audit testing</t>
  </si>
  <si>
    <t xml:space="preserve">No audits/pen tests conducted yet, so no controls defined for protecting systems during such activities.</t>
  </si>
  <si>
    <t xml:space="preserve">No guidelines for safely conducting audits/pen tests without disrupting production.</t>
  </si>
  <si>
    <t xml:space="preserve">When planning first pen test/audit, define scope, timing, and safeguards (test in staging, rate-limit scans) in advance.</t>
  </si>
  <si>
    <t xml:space="preserve">ISO 27001 Annex A — Gap Assessment Dashboard</t>
  </si>
  <si>
    <t xml:space="preserve">By Status</t>
  </si>
  <si>
    <t xml:space="preserve">Count</t>
  </si>
  <si>
    <t xml:space="preserve">% of Total</t>
  </si>
  <si>
    <t xml:space="preserve">Total</t>
  </si>
  <si>
    <t xml:space="preserve">By Risk Rating</t>
  </si>
  <si>
    <t xml:space="preserve">Risk</t>
  </si>
  <si>
    <t xml:space="preserve">By Theme — Implementation Status</t>
  </si>
  <si>
    <t xml:space="preserve">Partial</t>
  </si>
  <si>
    <t xml:space="preserve">Not Impl.</t>
  </si>
  <si>
    <t xml:space="preserve">High Risk Gaps</t>
  </si>
  <si>
    <t xml:space="preserve">Overall Maturity Score</t>
  </si>
  <si>
    <t xml:space="preserve">Score = (Implemented x1 + Partial x0.5) / Total controls</t>
  </si>
  <si>
    <t xml:space="preserve">Remediation Roadmap — Phased Plan</t>
  </si>
  <si>
    <t xml:space="preserve">Priority sequencing based on Risk Rating: High = 0-30 days, Medium = 30-90 days, Low = 90-180 days</t>
  </si>
  <si>
    <t xml:space="preserve">Phase 1: 0-30 Days (Critical / High Risk)</t>
  </si>
  <si>
    <t xml:space="preserve">Remediation Action</t>
  </si>
  <si>
    <t xml:space="preserve">Owner</t>
  </si>
  <si>
    <t xml:space="preserve">Phase 2: 30-90 Days (Medium Risk)</t>
  </si>
  <si>
    <t xml:space="preserve">Phase 3: 90-180 Days (Low Risk / Continuous Improvement)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</si>
</sst>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1F4E7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FEB9C"/>
        <bgColor rgb="FFFFEB84"/>
      </patternFill>
    </fill>
    <fill>
      <patternFill patternType="solid">
        <fgColor rgb="FFFFC7CE"/>
        <bgColor rgb="FFD9D9D9"/>
      </patternFill>
    </fill>
    <fill>
      <patternFill patternType="solid">
        <fgColor rgb="FFF8696B"/>
        <bgColor rgb="FFFF6600"/>
      </patternFill>
    </fill>
    <fill>
      <patternFill patternType="solid">
        <fgColor rgb="FFFFEB84"/>
        <bgColor rgb="FFFFEB9C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FEB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B84"/>
      <rgbColor rgb="FFCCFFFF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  <c r="C5" s="4" t="s">
        <v>3</v>
      </c>
    </row>
    <row r="6" customFormat="false" ht="19.5" hidden="false" customHeight="true" outlineLevel="0" collapsed="false">
      <c r="B6" s="3" t="s">
        <v>4</v>
      </c>
      <c r="C6" s="4" t="s">
        <v>5</v>
      </c>
    </row>
    <row r="7" customFormat="false" ht="19.5" hidden="false" customHeight="true" outlineLevel="0" collapsed="false">
      <c r="B7" s="3" t="s">
        <v>6</v>
      </c>
      <c r="C7" s="4" t="s">
        <v>7</v>
      </c>
    </row>
    <row r="8" customFormat="false" ht="30" hidden="false" customHeight="true" outlineLevel="0" collapsed="false">
      <c r="B8" s="3" t="s">
        <v>8</v>
      </c>
      <c r="C8" s="4" t="s">
        <v>9</v>
      </c>
    </row>
    <row r="9" customFormat="false" ht="30" hidden="false" customHeight="true" outlineLevel="0" collapsed="false">
      <c r="B9" s="3" t="s">
        <v>10</v>
      </c>
      <c r="C9" s="4" t="s">
        <v>11</v>
      </c>
    </row>
    <row r="10" customFormat="false" ht="45" hidden="false" customHeight="true" outlineLevel="0" collapsed="false">
      <c r="B10" s="3" t="s">
        <v>12</v>
      </c>
      <c r="C10" s="4" t="s">
        <v>13</v>
      </c>
    </row>
    <row r="11" customFormat="false" ht="30" hidden="false" customHeight="true" outlineLevel="0" collapsed="false">
      <c r="B11" s="3" t="s">
        <v>14</v>
      </c>
      <c r="C11" s="4" t="s">
        <v>15</v>
      </c>
    </row>
    <row r="13" customFormat="false" ht="15" hidden="false" customHeight="false" outlineLevel="0" collapsed="false">
      <c r="B13" s="5" t="s">
        <v>16</v>
      </c>
    </row>
    <row r="14" customFormat="false" ht="15" hidden="false" customHeight="false" outlineLevel="0" collapsed="false">
      <c r="B14" s="6" t="s">
        <v>17</v>
      </c>
    </row>
    <row r="15" customFormat="false" ht="15" hidden="false" customHeight="false" outlineLevel="0" collapsed="false">
      <c r="B15" s="7" t="s">
        <v>18</v>
      </c>
    </row>
    <row r="16" customFormat="false" ht="15" hidden="false" customHeight="false" outlineLevel="0" collapsed="false">
      <c r="B16" s="8" t="s">
        <v>19</v>
      </c>
    </row>
    <row r="18" customFormat="false" ht="15" hidden="false" customHeight="false" outlineLevel="0" collapsed="false">
      <c r="B18" s="5" t="s">
        <v>20</v>
      </c>
    </row>
    <row r="19" customFormat="false" ht="15" hidden="false" customHeight="false" outlineLevel="0" collapsed="false">
      <c r="B19" s="9" t="s">
        <v>21</v>
      </c>
    </row>
    <row r="20" customFormat="false" ht="15" hidden="false" customHeight="false" outlineLevel="0" collapsed="false">
      <c r="B20" s="10" t="s">
        <v>22</v>
      </c>
    </row>
    <row r="21" customFormat="false" ht="15" hidden="false" customHeight="false" outlineLevel="0" collapsed="false">
      <c r="B21" s="11" t="s">
        <v>23</v>
      </c>
    </row>
    <row r="24" customFormat="false" ht="15" hidden="false" customHeight="false" outlineLevel="0" collapsed="false">
      <c r="B24" s="1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46"/>
    <col collapsed="false" customWidth="true" hidden="false" outlineLevel="0" max="6" min="6" style="0" width="42"/>
    <col collapsed="false" customWidth="true" hidden="false" outlineLevel="0" max="7" min="7" style="0" width="11"/>
    <col collapsed="false" customWidth="true" hidden="false" outlineLevel="0" max="8" min="8" style="0" width="46"/>
    <col collapsed="false" customWidth="true" hidden="false" outlineLevel="0" max="9" min="9" style="0" width="16"/>
    <col collapsed="false" customWidth="true" hidden="false" outlineLevel="0" max="10" min="10" style="0" width="13"/>
  </cols>
  <sheetData>
    <row r="1" customFormat="false" ht="36" hidden="false" customHeight="true" outlineLevel="0" collapsed="false">
      <c r="A1" s="13" t="s">
        <v>25</v>
      </c>
      <c r="B1" s="13" t="s">
        <v>26</v>
      </c>
      <c r="C1" s="13" t="s">
        <v>27</v>
      </c>
      <c r="D1" s="13" t="s">
        <v>28</v>
      </c>
      <c r="E1" s="13" t="s">
        <v>29</v>
      </c>
      <c r="F1" s="13" t="s">
        <v>30</v>
      </c>
      <c r="G1" s="13" t="s">
        <v>31</v>
      </c>
      <c r="H1" s="13" t="s">
        <v>32</v>
      </c>
      <c r="I1" s="13" t="s">
        <v>33</v>
      </c>
      <c r="J1" s="13" t="s">
        <v>34</v>
      </c>
    </row>
    <row r="2" customFormat="false" ht="60" hidden="false" customHeight="true" outlineLevel="0" collapsed="false">
      <c r="A2" s="14" t="s">
        <v>35</v>
      </c>
      <c r="B2" s="14" t="s">
        <v>36</v>
      </c>
      <c r="C2" s="14" t="s">
        <v>37</v>
      </c>
      <c r="D2" s="15" t="s">
        <v>18</v>
      </c>
      <c r="E2" s="14" t="s">
        <v>38</v>
      </c>
      <c r="F2" s="14" t="s">
        <v>39</v>
      </c>
      <c r="G2" s="16" t="s">
        <v>22</v>
      </c>
      <c r="H2" s="14" t="s">
        <v>40</v>
      </c>
      <c r="I2" s="14" t="s">
        <v>41</v>
      </c>
      <c r="J2" s="14" t="s">
        <v>42</v>
      </c>
    </row>
    <row r="3" customFormat="false" ht="60" hidden="false" customHeight="true" outlineLevel="0" collapsed="false">
      <c r="A3" s="14" t="s">
        <v>43</v>
      </c>
      <c r="B3" s="14" t="s">
        <v>44</v>
      </c>
      <c r="C3" s="14" t="s">
        <v>37</v>
      </c>
      <c r="D3" s="17" t="s">
        <v>19</v>
      </c>
      <c r="E3" s="14" t="s">
        <v>45</v>
      </c>
      <c r="F3" s="14" t="s">
        <v>46</v>
      </c>
      <c r="G3" s="18" t="s">
        <v>21</v>
      </c>
      <c r="H3" s="14" t="s">
        <v>47</v>
      </c>
      <c r="I3" s="14" t="s">
        <v>41</v>
      </c>
      <c r="J3" s="14" t="s">
        <v>48</v>
      </c>
    </row>
    <row r="4" customFormat="false" ht="60" hidden="false" customHeight="true" outlineLevel="0" collapsed="false">
      <c r="A4" s="14" t="s">
        <v>49</v>
      </c>
      <c r="B4" s="14" t="s">
        <v>50</v>
      </c>
      <c r="C4" s="14" t="s">
        <v>37</v>
      </c>
      <c r="D4" s="15" t="s">
        <v>18</v>
      </c>
      <c r="E4" s="14" t="s">
        <v>51</v>
      </c>
      <c r="F4" s="14" t="s">
        <v>52</v>
      </c>
      <c r="G4" s="16" t="s">
        <v>22</v>
      </c>
      <c r="H4" s="14" t="s">
        <v>53</v>
      </c>
      <c r="I4" s="14" t="s">
        <v>41</v>
      </c>
      <c r="J4" s="14" t="s">
        <v>42</v>
      </c>
    </row>
    <row r="5" customFormat="false" ht="60" hidden="false" customHeight="true" outlineLevel="0" collapsed="false">
      <c r="A5" s="14" t="s">
        <v>54</v>
      </c>
      <c r="B5" s="14" t="s">
        <v>55</v>
      </c>
      <c r="C5" s="14" t="s">
        <v>37</v>
      </c>
      <c r="D5" s="15" t="s">
        <v>18</v>
      </c>
      <c r="E5" s="14" t="s">
        <v>56</v>
      </c>
      <c r="F5" s="14" t="s">
        <v>57</v>
      </c>
      <c r="G5" s="19" t="s">
        <v>23</v>
      </c>
      <c r="H5" s="14" t="s">
        <v>58</v>
      </c>
      <c r="I5" s="14" t="s">
        <v>41</v>
      </c>
      <c r="J5" s="14" t="s">
        <v>59</v>
      </c>
    </row>
    <row r="6" customFormat="false" ht="60" hidden="false" customHeight="true" outlineLevel="0" collapsed="false">
      <c r="A6" s="14" t="s">
        <v>60</v>
      </c>
      <c r="B6" s="14" t="s">
        <v>61</v>
      </c>
      <c r="C6" s="14" t="s">
        <v>37</v>
      </c>
      <c r="D6" s="17" t="s">
        <v>19</v>
      </c>
      <c r="E6" s="14" t="s">
        <v>62</v>
      </c>
      <c r="F6" s="14" t="s">
        <v>63</v>
      </c>
      <c r="G6" s="16" t="s">
        <v>22</v>
      </c>
      <c r="H6" s="14" t="s">
        <v>64</v>
      </c>
      <c r="I6" s="14" t="s">
        <v>41</v>
      </c>
      <c r="J6" s="14" t="s">
        <v>42</v>
      </c>
    </row>
    <row r="7" customFormat="false" ht="60" hidden="false" customHeight="true" outlineLevel="0" collapsed="false">
      <c r="A7" s="14" t="s">
        <v>65</v>
      </c>
      <c r="B7" s="14" t="s">
        <v>66</v>
      </c>
      <c r="C7" s="14" t="s">
        <v>37</v>
      </c>
      <c r="D7" s="17" t="s">
        <v>19</v>
      </c>
      <c r="E7" s="14" t="s">
        <v>67</v>
      </c>
      <c r="F7" s="14" t="s">
        <v>68</v>
      </c>
      <c r="G7" s="19" t="s">
        <v>23</v>
      </c>
      <c r="H7" s="14" t="s">
        <v>69</v>
      </c>
      <c r="I7" s="14" t="s">
        <v>41</v>
      </c>
      <c r="J7" s="14" t="s">
        <v>59</v>
      </c>
    </row>
    <row r="8" customFormat="false" ht="60" hidden="false" customHeight="true" outlineLevel="0" collapsed="false">
      <c r="A8" s="14" t="s">
        <v>70</v>
      </c>
      <c r="B8" s="14" t="s">
        <v>71</v>
      </c>
      <c r="C8" s="14" t="s">
        <v>37</v>
      </c>
      <c r="D8" s="17" t="s">
        <v>19</v>
      </c>
      <c r="E8" s="14" t="s">
        <v>72</v>
      </c>
      <c r="F8" s="14" t="s">
        <v>73</v>
      </c>
      <c r="G8" s="16" t="s">
        <v>22</v>
      </c>
      <c r="H8" s="14" t="s">
        <v>74</v>
      </c>
      <c r="I8" s="14" t="s">
        <v>41</v>
      </c>
      <c r="J8" s="14" t="s">
        <v>42</v>
      </c>
    </row>
    <row r="9" customFormat="false" ht="60" hidden="false" customHeight="true" outlineLevel="0" collapsed="false">
      <c r="A9" s="14" t="s">
        <v>75</v>
      </c>
      <c r="B9" s="14" t="s">
        <v>76</v>
      </c>
      <c r="C9" s="14" t="s">
        <v>37</v>
      </c>
      <c r="D9" s="17" t="s">
        <v>19</v>
      </c>
      <c r="E9" s="14" t="s">
        <v>77</v>
      </c>
      <c r="F9" s="14" t="s">
        <v>78</v>
      </c>
      <c r="G9" s="18" t="s">
        <v>21</v>
      </c>
      <c r="H9" s="14" t="s">
        <v>79</v>
      </c>
      <c r="I9" s="14" t="s">
        <v>41</v>
      </c>
      <c r="J9" s="14" t="s">
        <v>48</v>
      </c>
    </row>
    <row r="10" customFormat="false" ht="60" hidden="false" customHeight="true" outlineLevel="0" collapsed="false">
      <c r="A10" s="14" t="s">
        <v>80</v>
      </c>
      <c r="B10" s="14" t="s">
        <v>81</v>
      </c>
      <c r="C10" s="14" t="s">
        <v>37</v>
      </c>
      <c r="D10" s="15" t="s">
        <v>18</v>
      </c>
      <c r="E10" s="14" t="s">
        <v>82</v>
      </c>
      <c r="F10" s="14" t="s">
        <v>83</v>
      </c>
      <c r="G10" s="18" t="s">
        <v>21</v>
      </c>
      <c r="H10" s="14" t="s">
        <v>84</v>
      </c>
      <c r="I10" s="14" t="s">
        <v>41</v>
      </c>
      <c r="J10" s="14" t="s">
        <v>48</v>
      </c>
    </row>
    <row r="11" customFormat="false" ht="60" hidden="false" customHeight="true" outlineLevel="0" collapsed="false">
      <c r="A11" s="14" t="s">
        <v>85</v>
      </c>
      <c r="B11" s="14" t="s">
        <v>86</v>
      </c>
      <c r="C11" s="14" t="s">
        <v>37</v>
      </c>
      <c r="D11" s="19" t="s">
        <v>17</v>
      </c>
      <c r="E11" s="14" t="s">
        <v>87</v>
      </c>
      <c r="F11" s="14" t="s">
        <v>88</v>
      </c>
      <c r="G11" s="19" t="s">
        <v>23</v>
      </c>
      <c r="H11" s="14" t="s">
        <v>89</v>
      </c>
      <c r="I11" s="14" t="s">
        <v>41</v>
      </c>
      <c r="J11" s="14" t="s">
        <v>59</v>
      </c>
    </row>
    <row r="12" customFormat="false" ht="60" hidden="false" customHeight="true" outlineLevel="0" collapsed="false">
      <c r="A12" s="14" t="s">
        <v>90</v>
      </c>
      <c r="B12" s="14" t="s">
        <v>91</v>
      </c>
      <c r="C12" s="14" t="s">
        <v>37</v>
      </c>
      <c r="D12" s="15" t="s">
        <v>18</v>
      </c>
      <c r="E12" s="14" t="s">
        <v>92</v>
      </c>
      <c r="F12" s="14" t="s">
        <v>93</v>
      </c>
      <c r="G12" s="19" t="s">
        <v>23</v>
      </c>
      <c r="H12" s="14" t="s">
        <v>94</v>
      </c>
      <c r="I12" s="14" t="s">
        <v>41</v>
      </c>
      <c r="J12" s="14" t="s">
        <v>59</v>
      </c>
    </row>
    <row r="13" customFormat="false" ht="60" hidden="false" customHeight="true" outlineLevel="0" collapsed="false">
      <c r="A13" s="14" t="s">
        <v>95</v>
      </c>
      <c r="B13" s="14" t="s">
        <v>96</v>
      </c>
      <c r="C13" s="14" t="s">
        <v>37</v>
      </c>
      <c r="D13" s="17" t="s">
        <v>19</v>
      </c>
      <c r="E13" s="14" t="s">
        <v>97</v>
      </c>
      <c r="F13" s="14" t="s">
        <v>98</v>
      </c>
      <c r="G13" s="18" t="s">
        <v>21</v>
      </c>
      <c r="H13" s="14" t="s">
        <v>99</v>
      </c>
      <c r="I13" s="14" t="s">
        <v>41</v>
      </c>
      <c r="J13" s="14" t="s">
        <v>48</v>
      </c>
    </row>
    <row r="14" customFormat="false" ht="60" hidden="false" customHeight="true" outlineLevel="0" collapsed="false">
      <c r="A14" s="14" t="s">
        <v>100</v>
      </c>
      <c r="B14" s="14" t="s">
        <v>101</v>
      </c>
      <c r="C14" s="14" t="s">
        <v>37</v>
      </c>
      <c r="D14" s="17" t="s">
        <v>19</v>
      </c>
      <c r="E14" s="14" t="s">
        <v>102</v>
      </c>
      <c r="F14" s="14" t="s">
        <v>103</v>
      </c>
      <c r="G14" s="19" t="s">
        <v>23</v>
      </c>
      <c r="H14" s="14" t="s">
        <v>104</v>
      </c>
      <c r="I14" s="14" t="s">
        <v>41</v>
      </c>
      <c r="J14" s="14" t="s">
        <v>59</v>
      </c>
    </row>
    <row r="15" customFormat="false" ht="60" hidden="false" customHeight="true" outlineLevel="0" collapsed="false">
      <c r="A15" s="14" t="s">
        <v>105</v>
      </c>
      <c r="B15" s="14" t="s">
        <v>106</v>
      </c>
      <c r="C15" s="14" t="s">
        <v>37</v>
      </c>
      <c r="D15" s="15" t="s">
        <v>18</v>
      </c>
      <c r="E15" s="14" t="s">
        <v>107</v>
      </c>
      <c r="F15" s="14" t="s">
        <v>108</v>
      </c>
      <c r="G15" s="18" t="s">
        <v>21</v>
      </c>
      <c r="H15" s="14" t="s">
        <v>109</v>
      </c>
      <c r="I15" s="14" t="s">
        <v>41</v>
      </c>
      <c r="J15" s="14" t="s">
        <v>48</v>
      </c>
    </row>
    <row r="16" customFormat="false" ht="60" hidden="false" customHeight="true" outlineLevel="0" collapsed="false">
      <c r="A16" s="14" t="s">
        <v>110</v>
      </c>
      <c r="B16" s="14" t="s">
        <v>111</v>
      </c>
      <c r="C16" s="14" t="s">
        <v>37</v>
      </c>
      <c r="D16" s="15" t="s">
        <v>18</v>
      </c>
      <c r="E16" s="14" t="s">
        <v>112</v>
      </c>
      <c r="F16" s="14" t="s">
        <v>113</v>
      </c>
      <c r="G16" s="18" t="s">
        <v>21</v>
      </c>
      <c r="H16" s="14" t="s">
        <v>114</v>
      </c>
      <c r="I16" s="14" t="s">
        <v>41</v>
      </c>
      <c r="J16" s="14" t="s">
        <v>48</v>
      </c>
    </row>
    <row r="17" customFormat="false" ht="60" hidden="false" customHeight="true" outlineLevel="0" collapsed="false">
      <c r="A17" s="14" t="s">
        <v>115</v>
      </c>
      <c r="B17" s="14" t="s">
        <v>116</v>
      </c>
      <c r="C17" s="14" t="s">
        <v>37</v>
      </c>
      <c r="D17" s="15" t="s">
        <v>18</v>
      </c>
      <c r="E17" s="14" t="s">
        <v>117</v>
      </c>
      <c r="F17" s="14" t="s">
        <v>118</v>
      </c>
      <c r="G17" s="16" t="s">
        <v>22</v>
      </c>
      <c r="H17" s="14" t="s">
        <v>119</v>
      </c>
      <c r="I17" s="14" t="s">
        <v>41</v>
      </c>
      <c r="J17" s="14" t="s">
        <v>42</v>
      </c>
    </row>
    <row r="18" customFormat="false" ht="60" hidden="false" customHeight="true" outlineLevel="0" collapsed="false">
      <c r="A18" s="14" t="s">
        <v>120</v>
      </c>
      <c r="B18" s="14" t="s">
        <v>121</v>
      </c>
      <c r="C18" s="14" t="s">
        <v>37</v>
      </c>
      <c r="D18" s="15" t="s">
        <v>18</v>
      </c>
      <c r="E18" s="14" t="s">
        <v>122</v>
      </c>
      <c r="F18" s="14" t="s">
        <v>123</v>
      </c>
      <c r="G18" s="16" t="s">
        <v>22</v>
      </c>
      <c r="H18" s="14" t="s">
        <v>124</v>
      </c>
      <c r="I18" s="14" t="s">
        <v>41</v>
      </c>
      <c r="J18" s="14" t="s">
        <v>42</v>
      </c>
    </row>
    <row r="19" customFormat="false" ht="60" hidden="false" customHeight="true" outlineLevel="0" collapsed="false">
      <c r="A19" s="14" t="s">
        <v>125</v>
      </c>
      <c r="B19" s="14" t="s">
        <v>126</v>
      </c>
      <c r="C19" s="14" t="s">
        <v>37</v>
      </c>
      <c r="D19" s="15" t="s">
        <v>18</v>
      </c>
      <c r="E19" s="14" t="s">
        <v>127</v>
      </c>
      <c r="F19" s="14" t="s">
        <v>128</v>
      </c>
      <c r="G19" s="18" t="s">
        <v>21</v>
      </c>
      <c r="H19" s="14" t="s">
        <v>129</v>
      </c>
      <c r="I19" s="14" t="s">
        <v>41</v>
      </c>
      <c r="J19" s="14" t="s">
        <v>48</v>
      </c>
    </row>
    <row r="20" customFormat="false" ht="60" hidden="false" customHeight="true" outlineLevel="0" collapsed="false">
      <c r="A20" s="14" t="s">
        <v>130</v>
      </c>
      <c r="B20" s="14" t="s">
        <v>131</v>
      </c>
      <c r="C20" s="14" t="s">
        <v>37</v>
      </c>
      <c r="D20" s="17" t="s">
        <v>19</v>
      </c>
      <c r="E20" s="14" t="s">
        <v>132</v>
      </c>
      <c r="F20" s="14" t="s">
        <v>133</v>
      </c>
      <c r="G20" s="18" t="s">
        <v>21</v>
      </c>
      <c r="H20" s="14" t="s">
        <v>134</v>
      </c>
      <c r="I20" s="14" t="s">
        <v>41</v>
      </c>
      <c r="J20" s="14" t="s">
        <v>48</v>
      </c>
    </row>
    <row r="21" customFormat="false" ht="60" hidden="false" customHeight="true" outlineLevel="0" collapsed="false">
      <c r="A21" s="14" t="s">
        <v>135</v>
      </c>
      <c r="B21" s="14" t="s">
        <v>136</v>
      </c>
      <c r="C21" s="14" t="s">
        <v>37</v>
      </c>
      <c r="D21" s="17" t="s">
        <v>19</v>
      </c>
      <c r="E21" s="14" t="s">
        <v>137</v>
      </c>
      <c r="F21" s="14" t="s">
        <v>138</v>
      </c>
      <c r="G21" s="16" t="s">
        <v>22</v>
      </c>
      <c r="H21" s="14" t="s">
        <v>139</v>
      </c>
      <c r="I21" s="14" t="s">
        <v>41</v>
      </c>
      <c r="J21" s="14" t="s">
        <v>42</v>
      </c>
    </row>
    <row r="22" customFormat="false" ht="60" hidden="false" customHeight="true" outlineLevel="0" collapsed="false">
      <c r="A22" s="14" t="s">
        <v>140</v>
      </c>
      <c r="B22" s="14" t="s">
        <v>141</v>
      </c>
      <c r="C22" s="14" t="s">
        <v>37</v>
      </c>
      <c r="D22" s="17" t="s">
        <v>19</v>
      </c>
      <c r="E22" s="14" t="s">
        <v>142</v>
      </c>
      <c r="F22" s="14" t="s">
        <v>143</v>
      </c>
      <c r="G22" s="16" t="s">
        <v>22</v>
      </c>
      <c r="H22" s="14" t="s">
        <v>144</v>
      </c>
      <c r="I22" s="14" t="s">
        <v>41</v>
      </c>
      <c r="J22" s="14" t="s">
        <v>42</v>
      </c>
    </row>
    <row r="23" customFormat="false" ht="60" hidden="false" customHeight="true" outlineLevel="0" collapsed="false">
      <c r="A23" s="14" t="s">
        <v>145</v>
      </c>
      <c r="B23" s="14" t="s">
        <v>146</v>
      </c>
      <c r="C23" s="14" t="s">
        <v>37</v>
      </c>
      <c r="D23" s="17" t="s">
        <v>19</v>
      </c>
      <c r="E23" s="14" t="s">
        <v>147</v>
      </c>
      <c r="F23" s="14" t="s">
        <v>148</v>
      </c>
      <c r="G23" s="16" t="s">
        <v>22</v>
      </c>
      <c r="H23" s="14" t="s">
        <v>149</v>
      </c>
      <c r="I23" s="14" t="s">
        <v>41</v>
      </c>
      <c r="J23" s="14" t="s">
        <v>42</v>
      </c>
    </row>
    <row r="24" customFormat="false" ht="60" hidden="false" customHeight="true" outlineLevel="0" collapsed="false">
      <c r="A24" s="14" t="s">
        <v>150</v>
      </c>
      <c r="B24" s="14" t="s">
        <v>151</v>
      </c>
      <c r="C24" s="14" t="s">
        <v>37</v>
      </c>
      <c r="D24" s="15" t="s">
        <v>18</v>
      </c>
      <c r="E24" s="14" t="s">
        <v>152</v>
      </c>
      <c r="F24" s="14" t="s">
        <v>153</v>
      </c>
      <c r="G24" s="18" t="s">
        <v>21</v>
      </c>
      <c r="H24" s="14" t="s">
        <v>154</v>
      </c>
      <c r="I24" s="14" t="s">
        <v>41</v>
      </c>
      <c r="J24" s="14" t="s">
        <v>48</v>
      </c>
    </row>
    <row r="25" customFormat="false" ht="60" hidden="false" customHeight="true" outlineLevel="0" collapsed="false">
      <c r="A25" s="14" t="s">
        <v>155</v>
      </c>
      <c r="B25" s="14" t="s">
        <v>156</v>
      </c>
      <c r="C25" s="14" t="s">
        <v>37</v>
      </c>
      <c r="D25" s="15" t="s">
        <v>18</v>
      </c>
      <c r="E25" s="14" t="s">
        <v>157</v>
      </c>
      <c r="F25" s="14" t="s">
        <v>158</v>
      </c>
      <c r="G25" s="18" t="s">
        <v>21</v>
      </c>
      <c r="H25" s="14" t="s">
        <v>159</v>
      </c>
      <c r="I25" s="14" t="s">
        <v>41</v>
      </c>
      <c r="J25" s="14" t="s">
        <v>48</v>
      </c>
    </row>
    <row r="26" customFormat="false" ht="60" hidden="false" customHeight="true" outlineLevel="0" collapsed="false">
      <c r="A26" s="14" t="s">
        <v>160</v>
      </c>
      <c r="B26" s="14" t="s">
        <v>161</v>
      </c>
      <c r="C26" s="14" t="s">
        <v>37</v>
      </c>
      <c r="D26" s="17" t="s">
        <v>19</v>
      </c>
      <c r="E26" s="14" t="s">
        <v>162</v>
      </c>
      <c r="F26" s="14" t="s">
        <v>163</v>
      </c>
      <c r="G26" s="16" t="s">
        <v>22</v>
      </c>
      <c r="H26" s="14" t="s">
        <v>164</v>
      </c>
      <c r="I26" s="14" t="s">
        <v>41</v>
      </c>
      <c r="J26" s="14" t="s">
        <v>42</v>
      </c>
    </row>
    <row r="27" customFormat="false" ht="60" hidden="false" customHeight="true" outlineLevel="0" collapsed="false">
      <c r="A27" s="14" t="s">
        <v>165</v>
      </c>
      <c r="B27" s="14" t="s">
        <v>166</v>
      </c>
      <c r="C27" s="14" t="s">
        <v>37</v>
      </c>
      <c r="D27" s="15" t="s">
        <v>18</v>
      </c>
      <c r="E27" s="14" t="s">
        <v>167</v>
      </c>
      <c r="F27" s="14" t="s">
        <v>168</v>
      </c>
      <c r="G27" s="18" t="s">
        <v>21</v>
      </c>
      <c r="H27" s="14" t="s">
        <v>169</v>
      </c>
      <c r="I27" s="14" t="s">
        <v>41</v>
      </c>
      <c r="J27" s="14" t="s">
        <v>48</v>
      </c>
    </row>
    <row r="28" customFormat="false" ht="60" hidden="false" customHeight="true" outlineLevel="0" collapsed="false">
      <c r="A28" s="14" t="s">
        <v>170</v>
      </c>
      <c r="B28" s="14" t="s">
        <v>171</v>
      </c>
      <c r="C28" s="14" t="s">
        <v>37</v>
      </c>
      <c r="D28" s="17" t="s">
        <v>19</v>
      </c>
      <c r="E28" s="14" t="s">
        <v>172</v>
      </c>
      <c r="F28" s="14" t="s">
        <v>173</v>
      </c>
      <c r="G28" s="16" t="s">
        <v>22</v>
      </c>
      <c r="H28" s="14" t="s">
        <v>174</v>
      </c>
      <c r="I28" s="14" t="s">
        <v>41</v>
      </c>
      <c r="J28" s="14" t="s">
        <v>42</v>
      </c>
    </row>
    <row r="29" customFormat="false" ht="60" hidden="false" customHeight="true" outlineLevel="0" collapsed="false">
      <c r="A29" s="14" t="s">
        <v>175</v>
      </c>
      <c r="B29" s="14" t="s">
        <v>176</v>
      </c>
      <c r="C29" s="14" t="s">
        <v>37</v>
      </c>
      <c r="D29" s="17" t="s">
        <v>19</v>
      </c>
      <c r="E29" s="14" t="s">
        <v>177</v>
      </c>
      <c r="F29" s="14" t="s">
        <v>178</v>
      </c>
      <c r="G29" s="16" t="s">
        <v>22</v>
      </c>
      <c r="H29" s="14" t="s">
        <v>179</v>
      </c>
      <c r="I29" s="14" t="s">
        <v>41</v>
      </c>
      <c r="J29" s="14" t="s">
        <v>42</v>
      </c>
    </row>
    <row r="30" customFormat="false" ht="60" hidden="false" customHeight="true" outlineLevel="0" collapsed="false">
      <c r="A30" s="14" t="s">
        <v>180</v>
      </c>
      <c r="B30" s="14" t="s">
        <v>181</v>
      </c>
      <c r="C30" s="14" t="s">
        <v>37</v>
      </c>
      <c r="D30" s="17" t="s">
        <v>19</v>
      </c>
      <c r="E30" s="14" t="s">
        <v>182</v>
      </c>
      <c r="F30" s="14" t="s">
        <v>183</v>
      </c>
      <c r="G30" s="16" t="s">
        <v>22</v>
      </c>
      <c r="H30" s="14" t="s">
        <v>184</v>
      </c>
      <c r="I30" s="14" t="s">
        <v>41</v>
      </c>
      <c r="J30" s="14" t="s">
        <v>42</v>
      </c>
    </row>
    <row r="31" customFormat="false" ht="60" hidden="false" customHeight="true" outlineLevel="0" collapsed="false">
      <c r="A31" s="14" t="s">
        <v>185</v>
      </c>
      <c r="B31" s="14" t="s">
        <v>186</v>
      </c>
      <c r="C31" s="14" t="s">
        <v>37</v>
      </c>
      <c r="D31" s="15" t="s">
        <v>18</v>
      </c>
      <c r="E31" s="14" t="s">
        <v>187</v>
      </c>
      <c r="F31" s="14" t="s">
        <v>188</v>
      </c>
      <c r="G31" s="18" t="s">
        <v>21</v>
      </c>
      <c r="H31" s="14" t="s">
        <v>189</v>
      </c>
      <c r="I31" s="14" t="s">
        <v>41</v>
      </c>
      <c r="J31" s="14" t="s">
        <v>48</v>
      </c>
    </row>
    <row r="32" customFormat="false" ht="60" hidden="false" customHeight="true" outlineLevel="0" collapsed="false">
      <c r="A32" s="14" t="s">
        <v>190</v>
      </c>
      <c r="B32" s="14" t="s">
        <v>191</v>
      </c>
      <c r="C32" s="14" t="s">
        <v>37</v>
      </c>
      <c r="D32" s="15" t="s">
        <v>18</v>
      </c>
      <c r="E32" s="14" t="s">
        <v>192</v>
      </c>
      <c r="F32" s="14" t="s">
        <v>193</v>
      </c>
      <c r="G32" s="16" t="s">
        <v>22</v>
      </c>
      <c r="H32" s="14" t="s">
        <v>194</v>
      </c>
      <c r="I32" s="14" t="s">
        <v>41</v>
      </c>
      <c r="J32" s="14" t="s">
        <v>42</v>
      </c>
    </row>
    <row r="33" customFormat="false" ht="60" hidden="false" customHeight="true" outlineLevel="0" collapsed="false">
      <c r="A33" s="14" t="s">
        <v>195</v>
      </c>
      <c r="B33" s="14" t="s">
        <v>196</v>
      </c>
      <c r="C33" s="14" t="s">
        <v>37</v>
      </c>
      <c r="D33" s="15" t="s">
        <v>18</v>
      </c>
      <c r="E33" s="14" t="s">
        <v>197</v>
      </c>
      <c r="F33" s="14" t="s">
        <v>198</v>
      </c>
      <c r="G33" s="19" t="s">
        <v>23</v>
      </c>
      <c r="H33" s="14" t="s">
        <v>199</v>
      </c>
      <c r="I33" s="14" t="s">
        <v>41</v>
      </c>
      <c r="J33" s="14" t="s">
        <v>59</v>
      </c>
    </row>
    <row r="34" customFormat="false" ht="60" hidden="false" customHeight="true" outlineLevel="0" collapsed="false">
      <c r="A34" s="14" t="s">
        <v>200</v>
      </c>
      <c r="B34" s="14" t="s">
        <v>201</v>
      </c>
      <c r="C34" s="14" t="s">
        <v>37</v>
      </c>
      <c r="D34" s="15" t="s">
        <v>18</v>
      </c>
      <c r="E34" s="14" t="s">
        <v>202</v>
      </c>
      <c r="F34" s="14" t="s">
        <v>203</v>
      </c>
      <c r="G34" s="16" t="s">
        <v>22</v>
      </c>
      <c r="H34" s="14" t="s">
        <v>204</v>
      </c>
      <c r="I34" s="14" t="s">
        <v>41</v>
      </c>
      <c r="J34" s="14" t="s">
        <v>42</v>
      </c>
    </row>
    <row r="35" customFormat="false" ht="60" hidden="false" customHeight="true" outlineLevel="0" collapsed="false">
      <c r="A35" s="14" t="s">
        <v>205</v>
      </c>
      <c r="B35" s="14" t="s">
        <v>206</v>
      </c>
      <c r="C35" s="14" t="s">
        <v>37</v>
      </c>
      <c r="D35" s="15" t="s">
        <v>18</v>
      </c>
      <c r="E35" s="14" t="s">
        <v>207</v>
      </c>
      <c r="F35" s="14" t="s">
        <v>208</v>
      </c>
      <c r="G35" s="18" t="s">
        <v>21</v>
      </c>
      <c r="H35" s="14" t="s">
        <v>209</v>
      </c>
      <c r="I35" s="14" t="s">
        <v>41</v>
      </c>
      <c r="J35" s="14" t="s">
        <v>48</v>
      </c>
    </row>
    <row r="36" customFormat="false" ht="60" hidden="false" customHeight="true" outlineLevel="0" collapsed="false">
      <c r="A36" s="14" t="s">
        <v>210</v>
      </c>
      <c r="B36" s="14" t="s">
        <v>211</v>
      </c>
      <c r="C36" s="14" t="s">
        <v>37</v>
      </c>
      <c r="D36" s="17" t="s">
        <v>19</v>
      </c>
      <c r="E36" s="14" t="s">
        <v>212</v>
      </c>
      <c r="F36" s="14" t="s">
        <v>213</v>
      </c>
      <c r="G36" s="16" t="s">
        <v>22</v>
      </c>
      <c r="H36" s="14" t="s">
        <v>214</v>
      </c>
      <c r="I36" s="14" t="s">
        <v>41</v>
      </c>
      <c r="J36" s="14" t="s">
        <v>42</v>
      </c>
    </row>
    <row r="37" customFormat="false" ht="60" hidden="false" customHeight="true" outlineLevel="0" collapsed="false">
      <c r="A37" s="14" t="s">
        <v>215</v>
      </c>
      <c r="B37" s="14" t="s">
        <v>216</v>
      </c>
      <c r="C37" s="14" t="s">
        <v>37</v>
      </c>
      <c r="D37" s="17" t="s">
        <v>19</v>
      </c>
      <c r="E37" s="14" t="s">
        <v>217</v>
      </c>
      <c r="F37" s="14" t="s">
        <v>218</v>
      </c>
      <c r="G37" s="16" t="s">
        <v>22</v>
      </c>
      <c r="H37" s="14" t="s">
        <v>219</v>
      </c>
      <c r="I37" s="14" t="s">
        <v>41</v>
      </c>
      <c r="J37" s="14" t="s">
        <v>42</v>
      </c>
    </row>
    <row r="38" customFormat="false" ht="60" hidden="false" customHeight="true" outlineLevel="0" collapsed="false">
      <c r="A38" s="14" t="s">
        <v>220</v>
      </c>
      <c r="B38" s="14" t="s">
        <v>221</v>
      </c>
      <c r="C38" s="14" t="s">
        <v>37</v>
      </c>
      <c r="D38" s="15" t="s">
        <v>18</v>
      </c>
      <c r="E38" s="14" t="s">
        <v>222</v>
      </c>
      <c r="F38" s="14" t="s">
        <v>223</v>
      </c>
      <c r="G38" s="16" t="s">
        <v>22</v>
      </c>
      <c r="H38" s="14" t="s">
        <v>224</v>
      </c>
      <c r="I38" s="14" t="s">
        <v>41</v>
      </c>
      <c r="J38" s="14" t="s">
        <v>42</v>
      </c>
    </row>
    <row r="39" customFormat="false" ht="60" hidden="false" customHeight="true" outlineLevel="0" collapsed="false">
      <c r="A39" s="14" t="s">
        <v>225</v>
      </c>
      <c r="B39" s="14" t="s">
        <v>226</v>
      </c>
      <c r="C39" s="14" t="s">
        <v>227</v>
      </c>
      <c r="D39" s="15" t="s">
        <v>18</v>
      </c>
      <c r="E39" s="14" t="s">
        <v>228</v>
      </c>
      <c r="F39" s="14" t="s">
        <v>229</v>
      </c>
      <c r="G39" s="16" t="s">
        <v>22</v>
      </c>
      <c r="H39" s="14" t="s">
        <v>230</v>
      </c>
      <c r="I39" s="14" t="s">
        <v>231</v>
      </c>
      <c r="J39" s="14" t="s">
        <v>42</v>
      </c>
    </row>
    <row r="40" customFormat="false" ht="60" hidden="false" customHeight="true" outlineLevel="0" collapsed="false">
      <c r="A40" s="14" t="s">
        <v>232</v>
      </c>
      <c r="B40" s="14" t="s">
        <v>233</v>
      </c>
      <c r="C40" s="14" t="s">
        <v>227</v>
      </c>
      <c r="D40" s="19" t="s">
        <v>17</v>
      </c>
      <c r="E40" s="14" t="s">
        <v>234</v>
      </c>
      <c r="F40" s="14" t="s">
        <v>235</v>
      </c>
      <c r="G40" s="19" t="s">
        <v>23</v>
      </c>
      <c r="H40" s="14" t="s">
        <v>236</v>
      </c>
      <c r="I40" s="14" t="s">
        <v>231</v>
      </c>
      <c r="J40" s="14" t="s">
        <v>59</v>
      </c>
    </row>
    <row r="41" customFormat="false" ht="60" hidden="false" customHeight="true" outlineLevel="0" collapsed="false">
      <c r="A41" s="14" t="s">
        <v>237</v>
      </c>
      <c r="B41" s="14" t="s">
        <v>238</v>
      </c>
      <c r="C41" s="14" t="s">
        <v>227</v>
      </c>
      <c r="D41" s="17" t="s">
        <v>19</v>
      </c>
      <c r="E41" s="14" t="s">
        <v>239</v>
      </c>
      <c r="F41" s="14" t="s">
        <v>240</v>
      </c>
      <c r="G41" s="18" t="s">
        <v>21</v>
      </c>
      <c r="H41" s="14" t="s">
        <v>241</v>
      </c>
      <c r="I41" s="14" t="s">
        <v>231</v>
      </c>
      <c r="J41" s="14" t="s">
        <v>48</v>
      </c>
    </row>
    <row r="42" customFormat="false" ht="60" hidden="false" customHeight="true" outlineLevel="0" collapsed="false">
      <c r="A42" s="14" t="s">
        <v>242</v>
      </c>
      <c r="B42" s="14" t="s">
        <v>243</v>
      </c>
      <c r="C42" s="14" t="s">
        <v>227</v>
      </c>
      <c r="D42" s="19" t="s">
        <v>17</v>
      </c>
      <c r="E42" s="14" t="s">
        <v>244</v>
      </c>
      <c r="F42" s="14" t="s">
        <v>245</v>
      </c>
      <c r="G42" s="19" t="s">
        <v>23</v>
      </c>
      <c r="H42" s="14" t="s">
        <v>246</v>
      </c>
      <c r="I42" s="14" t="s">
        <v>231</v>
      </c>
      <c r="J42" s="14" t="s">
        <v>59</v>
      </c>
    </row>
    <row r="43" customFormat="false" ht="60" hidden="false" customHeight="true" outlineLevel="0" collapsed="false">
      <c r="A43" s="14" t="s">
        <v>247</v>
      </c>
      <c r="B43" s="14" t="s">
        <v>248</v>
      </c>
      <c r="C43" s="14" t="s">
        <v>227</v>
      </c>
      <c r="D43" s="15" t="s">
        <v>18</v>
      </c>
      <c r="E43" s="14" t="s">
        <v>249</v>
      </c>
      <c r="F43" s="14" t="s">
        <v>250</v>
      </c>
      <c r="G43" s="16" t="s">
        <v>22</v>
      </c>
      <c r="H43" s="14" t="s">
        <v>251</v>
      </c>
      <c r="I43" s="14" t="s">
        <v>231</v>
      </c>
      <c r="J43" s="14" t="s">
        <v>42</v>
      </c>
    </row>
    <row r="44" customFormat="false" ht="60" hidden="false" customHeight="true" outlineLevel="0" collapsed="false">
      <c r="A44" s="14" t="s">
        <v>252</v>
      </c>
      <c r="B44" s="14" t="s">
        <v>253</v>
      </c>
      <c r="C44" s="14" t="s">
        <v>227</v>
      </c>
      <c r="D44" s="19" t="s">
        <v>17</v>
      </c>
      <c r="E44" s="14" t="s">
        <v>254</v>
      </c>
      <c r="F44" s="14" t="s">
        <v>255</v>
      </c>
      <c r="G44" s="19" t="s">
        <v>23</v>
      </c>
      <c r="H44" s="14" t="s">
        <v>256</v>
      </c>
      <c r="I44" s="14" t="s">
        <v>231</v>
      </c>
      <c r="J44" s="14" t="s">
        <v>59</v>
      </c>
    </row>
    <row r="45" customFormat="false" ht="60" hidden="false" customHeight="true" outlineLevel="0" collapsed="false">
      <c r="A45" s="14" t="s">
        <v>257</v>
      </c>
      <c r="B45" s="14" t="s">
        <v>258</v>
      </c>
      <c r="C45" s="14" t="s">
        <v>227</v>
      </c>
      <c r="D45" s="15" t="s">
        <v>18</v>
      </c>
      <c r="E45" s="14" t="s">
        <v>259</v>
      </c>
      <c r="F45" s="14" t="s">
        <v>260</v>
      </c>
      <c r="G45" s="18" t="s">
        <v>21</v>
      </c>
      <c r="H45" s="14" t="s">
        <v>261</v>
      </c>
      <c r="I45" s="14" t="s">
        <v>231</v>
      </c>
      <c r="J45" s="14" t="s">
        <v>48</v>
      </c>
    </row>
    <row r="46" customFormat="false" ht="60" hidden="false" customHeight="true" outlineLevel="0" collapsed="false">
      <c r="A46" s="14" t="s">
        <v>262</v>
      </c>
      <c r="B46" s="14" t="s">
        <v>263</v>
      </c>
      <c r="C46" s="14" t="s">
        <v>227</v>
      </c>
      <c r="D46" s="17" t="s">
        <v>19</v>
      </c>
      <c r="E46" s="14" t="s">
        <v>264</v>
      </c>
      <c r="F46" s="14" t="s">
        <v>265</v>
      </c>
      <c r="G46" s="16" t="s">
        <v>22</v>
      </c>
      <c r="H46" s="14" t="s">
        <v>266</v>
      </c>
      <c r="I46" s="14" t="s">
        <v>231</v>
      </c>
      <c r="J46" s="14" t="s">
        <v>42</v>
      </c>
    </row>
    <row r="47" customFormat="false" ht="60" hidden="false" customHeight="true" outlineLevel="0" collapsed="false">
      <c r="A47" s="14" t="s">
        <v>267</v>
      </c>
      <c r="B47" s="14" t="s">
        <v>268</v>
      </c>
      <c r="C47" s="14" t="s">
        <v>269</v>
      </c>
      <c r="D47" s="15" t="s">
        <v>18</v>
      </c>
      <c r="E47" s="14" t="s">
        <v>270</v>
      </c>
      <c r="F47" s="14" t="s">
        <v>271</v>
      </c>
      <c r="G47" s="19" t="s">
        <v>23</v>
      </c>
      <c r="H47" s="14" t="s">
        <v>272</v>
      </c>
      <c r="I47" s="14" t="s">
        <v>273</v>
      </c>
      <c r="J47" s="14" t="s">
        <v>59</v>
      </c>
    </row>
    <row r="48" customFormat="false" ht="60" hidden="false" customHeight="true" outlineLevel="0" collapsed="false">
      <c r="A48" s="14" t="s">
        <v>274</v>
      </c>
      <c r="B48" s="14" t="s">
        <v>275</v>
      </c>
      <c r="C48" s="14" t="s">
        <v>269</v>
      </c>
      <c r="D48" s="19" t="s">
        <v>17</v>
      </c>
      <c r="E48" s="14" t="s">
        <v>276</v>
      </c>
      <c r="F48" s="14" t="s">
        <v>277</v>
      </c>
      <c r="G48" s="19" t="s">
        <v>23</v>
      </c>
      <c r="H48" s="14" t="s">
        <v>278</v>
      </c>
      <c r="I48" s="14" t="s">
        <v>273</v>
      </c>
      <c r="J48" s="14" t="s">
        <v>59</v>
      </c>
    </row>
    <row r="49" customFormat="false" ht="60" hidden="false" customHeight="true" outlineLevel="0" collapsed="false">
      <c r="A49" s="14" t="s">
        <v>279</v>
      </c>
      <c r="B49" s="14" t="s">
        <v>280</v>
      </c>
      <c r="C49" s="14" t="s">
        <v>269</v>
      </c>
      <c r="D49" s="15" t="s">
        <v>18</v>
      </c>
      <c r="E49" s="14" t="s">
        <v>281</v>
      </c>
      <c r="F49" s="14" t="s">
        <v>282</v>
      </c>
      <c r="G49" s="16" t="s">
        <v>22</v>
      </c>
      <c r="H49" s="14" t="s">
        <v>283</v>
      </c>
      <c r="I49" s="14" t="s">
        <v>273</v>
      </c>
      <c r="J49" s="14" t="s">
        <v>42</v>
      </c>
    </row>
    <row r="50" customFormat="false" ht="60" hidden="false" customHeight="true" outlineLevel="0" collapsed="false">
      <c r="A50" s="14" t="s">
        <v>284</v>
      </c>
      <c r="B50" s="14" t="s">
        <v>285</v>
      </c>
      <c r="C50" s="14" t="s">
        <v>269</v>
      </c>
      <c r="D50" s="15" t="s">
        <v>18</v>
      </c>
      <c r="E50" s="14" t="s">
        <v>286</v>
      </c>
      <c r="F50" s="14" t="s">
        <v>287</v>
      </c>
      <c r="G50" s="19" t="s">
        <v>23</v>
      </c>
      <c r="H50" s="14" t="s">
        <v>288</v>
      </c>
      <c r="I50" s="14" t="s">
        <v>273</v>
      </c>
      <c r="J50" s="14" t="s">
        <v>59</v>
      </c>
    </row>
    <row r="51" customFormat="false" ht="60" hidden="false" customHeight="true" outlineLevel="0" collapsed="false">
      <c r="A51" s="14" t="s">
        <v>289</v>
      </c>
      <c r="B51" s="14" t="s">
        <v>290</v>
      </c>
      <c r="C51" s="14" t="s">
        <v>269</v>
      </c>
      <c r="D51" s="15" t="s">
        <v>18</v>
      </c>
      <c r="E51" s="14" t="s">
        <v>291</v>
      </c>
      <c r="F51" s="14" t="s">
        <v>292</v>
      </c>
      <c r="G51" s="16" t="s">
        <v>22</v>
      </c>
      <c r="H51" s="14" t="s">
        <v>293</v>
      </c>
      <c r="I51" s="14" t="s">
        <v>273</v>
      </c>
      <c r="J51" s="14" t="s">
        <v>42</v>
      </c>
    </row>
    <row r="52" customFormat="false" ht="60" hidden="false" customHeight="true" outlineLevel="0" collapsed="false">
      <c r="A52" s="14" t="s">
        <v>294</v>
      </c>
      <c r="B52" s="14" t="s">
        <v>295</v>
      </c>
      <c r="C52" s="14" t="s">
        <v>269</v>
      </c>
      <c r="D52" s="17" t="s">
        <v>19</v>
      </c>
      <c r="E52" s="14" t="s">
        <v>296</v>
      </c>
      <c r="F52" s="14" t="s">
        <v>297</v>
      </c>
      <c r="G52" s="19" t="s">
        <v>23</v>
      </c>
      <c r="H52" s="14" t="s">
        <v>298</v>
      </c>
      <c r="I52" s="14" t="s">
        <v>273</v>
      </c>
      <c r="J52" s="14" t="s">
        <v>59</v>
      </c>
    </row>
    <row r="53" customFormat="false" ht="60" hidden="false" customHeight="true" outlineLevel="0" collapsed="false">
      <c r="A53" s="14" t="s">
        <v>299</v>
      </c>
      <c r="B53" s="14" t="s">
        <v>300</v>
      </c>
      <c r="C53" s="14" t="s">
        <v>269</v>
      </c>
      <c r="D53" s="17" t="s">
        <v>19</v>
      </c>
      <c r="E53" s="14" t="s">
        <v>301</v>
      </c>
      <c r="F53" s="14" t="s">
        <v>302</v>
      </c>
      <c r="G53" s="16" t="s">
        <v>22</v>
      </c>
      <c r="H53" s="14" t="s">
        <v>303</v>
      </c>
      <c r="I53" s="14" t="s">
        <v>273</v>
      </c>
      <c r="J53" s="14" t="s">
        <v>42</v>
      </c>
    </row>
    <row r="54" customFormat="false" ht="60" hidden="false" customHeight="true" outlineLevel="0" collapsed="false">
      <c r="A54" s="14" t="s">
        <v>304</v>
      </c>
      <c r="B54" s="14" t="s">
        <v>305</v>
      </c>
      <c r="C54" s="14" t="s">
        <v>269</v>
      </c>
      <c r="D54" s="19" t="s">
        <v>17</v>
      </c>
      <c r="E54" s="14" t="s">
        <v>306</v>
      </c>
      <c r="F54" s="14" t="s">
        <v>245</v>
      </c>
      <c r="G54" s="19" t="s">
        <v>23</v>
      </c>
      <c r="H54" s="14" t="s">
        <v>307</v>
      </c>
      <c r="I54" s="14" t="s">
        <v>273</v>
      </c>
      <c r="J54" s="14" t="s">
        <v>59</v>
      </c>
    </row>
    <row r="55" customFormat="false" ht="60" hidden="false" customHeight="true" outlineLevel="0" collapsed="false">
      <c r="A55" s="14" t="s">
        <v>308</v>
      </c>
      <c r="B55" s="14" t="s">
        <v>309</v>
      </c>
      <c r="C55" s="14" t="s">
        <v>269</v>
      </c>
      <c r="D55" s="15" t="s">
        <v>18</v>
      </c>
      <c r="E55" s="14" t="s">
        <v>310</v>
      </c>
      <c r="F55" s="14" t="s">
        <v>311</v>
      </c>
      <c r="G55" s="16" t="s">
        <v>22</v>
      </c>
      <c r="H55" s="14" t="s">
        <v>312</v>
      </c>
      <c r="I55" s="14" t="s">
        <v>273</v>
      </c>
      <c r="J55" s="14" t="s">
        <v>42</v>
      </c>
    </row>
    <row r="56" customFormat="false" ht="60" hidden="false" customHeight="true" outlineLevel="0" collapsed="false">
      <c r="A56" s="14" t="s">
        <v>313</v>
      </c>
      <c r="B56" s="14" t="s">
        <v>314</v>
      </c>
      <c r="C56" s="14" t="s">
        <v>269</v>
      </c>
      <c r="D56" s="17" t="s">
        <v>19</v>
      </c>
      <c r="E56" s="14" t="s">
        <v>315</v>
      </c>
      <c r="F56" s="14" t="s">
        <v>316</v>
      </c>
      <c r="G56" s="16" t="s">
        <v>22</v>
      </c>
      <c r="H56" s="14" t="s">
        <v>317</v>
      </c>
      <c r="I56" s="14" t="s">
        <v>273</v>
      </c>
      <c r="J56" s="14" t="s">
        <v>42</v>
      </c>
    </row>
    <row r="57" customFormat="false" ht="60" hidden="false" customHeight="true" outlineLevel="0" collapsed="false">
      <c r="A57" s="14" t="s">
        <v>318</v>
      </c>
      <c r="B57" s="14" t="s">
        <v>319</v>
      </c>
      <c r="C57" s="14" t="s">
        <v>269</v>
      </c>
      <c r="D57" s="15" t="s">
        <v>18</v>
      </c>
      <c r="E57" s="14" t="s">
        <v>320</v>
      </c>
      <c r="F57" s="14" t="s">
        <v>321</v>
      </c>
      <c r="G57" s="19" t="s">
        <v>23</v>
      </c>
      <c r="H57" s="14" t="s">
        <v>322</v>
      </c>
      <c r="I57" s="14" t="s">
        <v>273</v>
      </c>
      <c r="J57" s="14" t="s">
        <v>59</v>
      </c>
    </row>
    <row r="58" customFormat="false" ht="60" hidden="false" customHeight="true" outlineLevel="0" collapsed="false">
      <c r="A58" s="14" t="s">
        <v>323</v>
      </c>
      <c r="B58" s="14" t="s">
        <v>324</v>
      </c>
      <c r="C58" s="14" t="s">
        <v>269</v>
      </c>
      <c r="D58" s="19" t="s">
        <v>17</v>
      </c>
      <c r="E58" s="14" t="s">
        <v>325</v>
      </c>
      <c r="F58" s="14" t="s">
        <v>245</v>
      </c>
      <c r="G58" s="19" t="s">
        <v>23</v>
      </c>
      <c r="H58" s="14" t="s">
        <v>326</v>
      </c>
      <c r="I58" s="14" t="s">
        <v>273</v>
      </c>
      <c r="J58" s="14" t="s">
        <v>59</v>
      </c>
    </row>
    <row r="59" customFormat="false" ht="60" hidden="false" customHeight="true" outlineLevel="0" collapsed="false">
      <c r="A59" s="14" t="s">
        <v>327</v>
      </c>
      <c r="B59" s="14" t="s">
        <v>328</v>
      </c>
      <c r="C59" s="14" t="s">
        <v>269</v>
      </c>
      <c r="D59" s="15" t="s">
        <v>18</v>
      </c>
      <c r="E59" s="14" t="s">
        <v>329</v>
      </c>
      <c r="F59" s="14" t="s">
        <v>330</v>
      </c>
      <c r="G59" s="19" t="s">
        <v>23</v>
      </c>
      <c r="H59" s="14" t="s">
        <v>331</v>
      </c>
      <c r="I59" s="14" t="s">
        <v>273</v>
      </c>
      <c r="J59" s="14" t="s">
        <v>59</v>
      </c>
    </row>
    <row r="60" customFormat="false" ht="60" hidden="false" customHeight="true" outlineLevel="0" collapsed="false">
      <c r="A60" s="14" t="s">
        <v>332</v>
      </c>
      <c r="B60" s="14" t="s">
        <v>333</v>
      </c>
      <c r="C60" s="14" t="s">
        <v>269</v>
      </c>
      <c r="D60" s="17" t="s">
        <v>19</v>
      </c>
      <c r="E60" s="14" t="s">
        <v>334</v>
      </c>
      <c r="F60" s="14" t="s">
        <v>335</v>
      </c>
      <c r="G60" s="18" t="s">
        <v>21</v>
      </c>
      <c r="H60" s="14" t="s">
        <v>336</v>
      </c>
      <c r="I60" s="14" t="s">
        <v>273</v>
      </c>
      <c r="J60" s="14" t="s">
        <v>48</v>
      </c>
    </row>
    <row r="61" customFormat="false" ht="60" hidden="false" customHeight="true" outlineLevel="0" collapsed="false">
      <c r="A61" s="14" t="s">
        <v>337</v>
      </c>
      <c r="B61" s="14" t="s">
        <v>338</v>
      </c>
      <c r="C61" s="14" t="s">
        <v>339</v>
      </c>
      <c r="D61" s="15" t="s">
        <v>18</v>
      </c>
      <c r="E61" s="14" t="s">
        <v>340</v>
      </c>
      <c r="F61" s="14" t="s">
        <v>341</v>
      </c>
      <c r="G61" s="16" t="s">
        <v>22</v>
      </c>
      <c r="H61" s="14" t="s">
        <v>342</v>
      </c>
      <c r="I61" s="14" t="s">
        <v>343</v>
      </c>
      <c r="J61" s="14" t="s">
        <v>42</v>
      </c>
    </row>
    <row r="62" customFormat="false" ht="60" hidden="false" customHeight="true" outlineLevel="0" collapsed="false">
      <c r="A62" s="14" t="s">
        <v>344</v>
      </c>
      <c r="B62" s="14" t="s">
        <v>345</v>
      </c>
      <c r="C62" s="14" t="s">
        <v>339</v>
      </c>
      <c r="D62" s="15" t="s">
        <v>18</v>
      </c>
      <c r="E62" s="14" t="s">
        <v>346</v>
      </c>
      <c r="F62" s="14" t="s">
        <v>347</v>
      </c>
      <c r="G62" s="18" t="s">
        <v>21</v>
      </c>
      <c r="H62" s="14" t="s">
        <v>348</v>
      </c>
      <c r="I62" s="14" t="s">
        <v>343</v>
      </c>
      <c r="J62" s="14" t="s">
        <v>48</v>
      </c>
    </row>
    <row r="63" customFormat="false" ht="60" hidden="false" customHeight="true" outlineLevel="0" collapsed="false">
      <c r="A63" s="14" t="s">
        <v>349</v>
      </c>
      <c r="B63" s="14" t="s">
        <v>350</v>
      </c>
      <c r="C63" s="14" t="s">
        <v>339</v>
      </c>
      <c r="D63" s="15" t="s">
        <v>18</v>
      </c>
      <c r="E63" s="14" t="s">
        <v>351</v>
      </c>
      <c r="F63" s="14" t="s">
        <v>352</v>
      </c>
      <c r="G63" s="18" t="s">
        <v>21</v>
      </c>
      <c r="H63" s="14" t="s">
        <v>353</v>
      </c>
      <c r="I63" s="14" t="s">
        <v>343</v>
      </c>
      <c r="J63" s="14" t="s">
        <v>48</v>
      </c>
    </row>
    <row r="64" customFormat="false" ht="60" hidden="false" customHeight="true" outlineLevel="0" collapsed="false">
      <c r="A64" s="14" t="s">
        <v>354</v>
      </c>
      <c r="B64" s="14" t="s">
        <v>355</v>
      </c>
      <c r="C64" s="14" t="s">
        <v>339</v>
      </c>
      <c r="D64" s="19" t="s">
        <v>17</v>
      </c>
      <c r="E64" s="14" t="s">
        <v>356</v>
      </c>
      <c r="F64" s="14" t="s">
        <v>245</v>
      </c>
      <c r="G64" s="19" t="s">
        <v>23</v>
      </c>
      <c r="H64" s="14" t="s">
        <v>357</v>
      </c>
      <c r="I64" s="14" t="s">
        <v>343</v>
      </c>
      <c r="J64" s="14" t="s">
        <v>59</v>
      </c>
    </row>
    <row r="65" customFormat="false" ht="60" hidden="false" customHeight="true" outlineLevel="0" collapsed="false">
      <c r="A65" s="14" t="s">
        <v>358</v>
      </c>
      <c r="B65" s="14" t="s">
        <v>359</v>
      </c>
      <c r="C65" s="14" t="s">
        <v>339</v>
      </c>
      <c r="D65" s="15" t="s">
        <v>18</v>
      </c>
      <c r="E65" s="14" t="s">
        <v>360</v>
      </c>
      <c r="F65" s="14" t="s">
        <v>361</v>
      </c>
      <c r="G65" s="18" t="s">
        <v>21</v>
      </c>
      <c r="H65" s="14" t="s">
        <v>362</v>
      </c>
      <c r="I65" s="14" t="s">
        <v>343</v>
      </c>
      <c r="J65" s="14" t="s">
        <v>48</v>
      </c>
    </row>
    <row r="66" customFormat="false" ht="60" hidden="false" customHeight="true" outlineLevel="0" collapsed="false">
      <c r="A66" s="14" t="s">
        <v>363</v>
      </c>
      <c r="B66" s="14" t="s">
        <v>364</v>
      </c>
      <c r="C66" s="14" t="s">
        <v>339</v>
      </c>
      <c r="D66" s="15" t="s">
        <v>18</v>
      </c>
      <c r="E66" s="14" t="s">
        <v>365</v>
      </c>
      <c r="F66" s="14" t="s">
        <v>366</v>
      </c>
      <c r="G66" s="19" t="s">
        <v>23</v>
      </c>
      <c r="H66" s="14" t="s">
        <v>367</v>
      </c>
      <c r="I66" s="14" t="s">
        <v>343</v>
      </c>
      <c r="J66" s="14" t="s">
        <v>59</v>
      </c>
    </row>
    <row r="67" customFormat="false" ht="60" hidden="false" customHeight="true" outlineLevel="0" collapsed="false">
      <c r="A67" s="14" t="s">
        <v>368</v>
      </c>
      <c r="B67" s="14" t="s">
        <v>369</v>
      </c>
      <c r="C67" s="14" t="s">
        <v>339</v>
      </c>
      <c r="D67" s="19" t="s">
        <v>17</v>
      </c>
      <c r="E67" s="14" t="s">
        <v>370</v>
      </c>
      <c r="F67" s="14" t="s">
        <v>371</v>
      </c>
      <c r="G67" s="19" t="s">
        <v>23</v>
      </c>
      <c r="H67" s="14" t="s">
        <v>372</v>
      </c>
      <c r="I67" s="14" t="s">
        <v>343</v>
      </c>
      <c r="J67" s="14" t="s">
        <v>59</v>
      </c>
    </row>
    <row r="68" customFormat="false" ht="60" hidden="false" customHeight="true" outlineLevel="0" collapsed="false">
      <c r="A68" s="14" t="s">
        <v>373</v>
      </c>
      <c r="B68" s="14" t="s">
        <v>374</v>
      </c>
      <c r="C68" s="14" t="s">
        <v>339</v>
      </c>
      <c r="D68" s="15" t="s">
        <v>18</v>
      </c>
      <c r="E68" s="14" t="s">
        <v>375</v>
      </c>
      <c r="F68" s="14" t="s">
        <v>376</v>
      </c>
      <c r="G68" s="18" t="s">
        <v>21</v>
      </c>
      <c r="H68" s="14" t="s">
        <v>377</v>
      </c>
      <c r="I68" s="14" t="s">
        <v>343</v>
      </c>
      <c r="J68" s="14" t="s">
        <v>48</v>
      </c>
    </row>
    <row r="69" customFormat="false" ht="60" hidden="false" customHeight="true" outlineLevel="0" collapsed="false">
      <c r="A69" s="14" t="s">
        <v>378</v>
      </c>
      <c r="B69" s="14" t="s">
        <v>379</v>
      </c>
      <c r="C69" s="14" t="s">
        <v>339</v>
      </c>
      <c r="D69" s="17" t="s">
        <v>19</v>
      </c>
      <c r="E69" s="14" t="s">
        <v>380</v>
      </c>
      <c r="F69" s="14" t="s">
        <v>381</v>
      </c>
      <c r="G69" s="18" t="s">
        <v>21</v>
      </c>
      <c r="H69" s="14" t="s">
        <v>382</v>
      </c>
      <c r="I69" s="14" t="s">
        <v>343</v>
      </c>
      <c r="J69" s="14" t="s">
        <v>48</v>
      </c>
    </row>
    <row r="70" customFormat="false" ht="60" hidden="false" customHeight="true" outlineLevel="0" collapsed="false">
      <c r="A70" s="14" t="s">
        <v>383</v>
      </c>
      <c r="B70" s="14" t="s">
        <v>384</v>
      </c>
      <c r="C70" s="14" t="s">
        <v>339</v>
      </c>
      <c r="D70" s="17" t="s">
        <v>19</v>
      </c>
      <c r="E70" s="14" t="s">
        <v>385</v>
      </c>
      <c r="F70" s="14" t="s">
        <v>386</v>
      </c>
      <c r="G70" s="16" t="s">
        <v>22</v>
      </c>
      <c r="H70" s="14" t="s">
        <v>387</v>
      </c>
      <c r="I70" s="14" t="s">
        <v>343</v>
      </c>
      <c r="J70" s="14" t="s">
        <v>42</v>
      </c>
    </row>
    <row r="71" customFormat="false" ht="60" hidden="false" customHeight="true" outlineLevel="0" collapsed="false">
      <c r="A71" s="14" t="s">
        <v>388</v>
      </c>
      <c r="B71" s="14" t="s">
        <v>389</v>
      </c>
      <c r="C71" s="14" t="s">
        <v>339</v>
      </c>
      <c r="D71" s="17" t="s">
        <v>19</v>
      </c>
      <c r="E71" s="14" t="s">
        <v>390</v>
      </c>
      <c r="F71" s="14" t="s">
        <v>391</v>
      </c>
      <c r="G71" s="18" t="s">
        <v>21</v>
      </c>
      <c r="H71" s="14" t="s">
        <v>392</v>
      </c>
      <c r="I71" s="14" t="s">
        <v>343</v>
      </c>
      <c r="J71" s="14" t="s">
        <v>48</v>
      </c>
    </row>
    <row r="72" customFormat="false" ht="60" hidden="false" customHeight="true" outlineLevel="0" collapsed="false">
      <c r="A72" s="14" t="s">
        <v>393</v>
      </c>
      <c r="B72" s="14" t="s">
        <v>394</v>
      </c>
      <c r="C72" s="14" t="s">
        <v>339</v>
      </c>
      <c r="D72" s="17" t="s">
        <v>19</v>
      </c>
      <c r="E72" s="14" t="s">
        <v>395</v>
      </c>
      <c r="F72" s="14" t="s">
        <v>396</v>
      </c>
      <c r="G72" s="16" t="s">
        <v>22</v>
      </c>
      <c r="H72" s="14" t="s">
        <v>397</v>
      </c>
      <c r="I72" s="14" t="s">
        <v>343</v>
      </c>
      <c r="J72" s="14" t="s">
        <v>42</v>
      </c>
    </row>
    <row r="73" customFormat="false" ht="60" hidden="false" customHeight="true" outlineLevel="0" collapsed="false">
      <c r="A73" s="14" t="s">
        <v>398</v>
      </c>
      <c r="B73" s="14" t="s">
        <v>399</v>
      </c>
      <c r="C73" s="14" t="s">
        <v>339</v>
      </c>
      <c r="D73" s="19" t="s">
        <v>17</v>
      </c>
      <c r="E73" s="14" t="s">
        <v>400</v>
      </c>
      <c r="F73" s="14" t="s">
        <v>401</v>
      </c>
      <c r="G73" s="16" t="s">
        <v>22</v>
      </c>
      <c r="H73" s="14" t="s">
        <v>402</v>
      </c>
      <c r="I73" s="14" t="s">
        <v>343</v>
      </c>
      <c r="J73" s="14" t="s">
        <v>42</v>
      </c>
    </row>
    <row r="74" customFormat="false" ht="60" hidden="false" customHeight="true" outlineLevel="0" collapsed="false">
      <c r="A74" s="14" t="s">
        <v>403</v>
      </c>
      <c r="B74" s="14" t="s">
        <v>404</v>
      </c>
      <c r="C74" s="14" t="s">
        <v>339</v>
      </c>
      <c r="D74" s="15" t="s">
        <v>18</v>
      </c>
      <c r="E74" s="14" t="s">
        <v>405</v>
      </c>
      <c r="F74" s="14" t="s">
        <v>406</v>
      </c>
      <c r="G74" s="16" t="s">
        <v>22</v>
      </c>
      <c r="H74" s="14" t="s">
        <v>407</v>
      </c>
      <c r="I74" s="14" t="s">
        <v>343</v>
      </c>
      <c r="J74" s="14" t="s">
        <v>42</v>
      </c>
    </row>
    <row r="75" customFormat="false" ht="60" hidden="false" customHeight="true" outlineLevel="0" collapsed="false">
      <c r="A75" s="14" t="s">
        <v>408</v>
      </c>
      <c r="B75" s="14" t="s">
        <v>409</v>
      </c>
      <c r="C75" s="14" t="s">
        <v>339</v>
      </c>
      <c r="D75" s="15" t="s">
        <v>18</v>
      </c>
      <c r="E75" s="14" t="s">
        <v>410</v>
      </c>
      <c r="F75" s="14" t="s">
        <v>411</v>
      </c>
      <c r="G75" s="18" t="s">
        <v>21</v>
      </c>
      <c r="H75" s="14" t="s">
        <v>412</v>
      </c>
      <c r="I75" s="14" t="s">
        <v>343</v>
      </c>
      <c r="J75" s="14" t="s">
        <v>48</v>
      </c>
    </row>
    <row r="76" customFormat="false" ht="60" hidden="false" customHeight="true" outlineLevel="0" collapsed="false">
      <c r="A76" s="14" t="s">
        <v>413</v>
      </c>
      <c r="B76" s="14" t="s">
        <v>414</v>
      </c>
      <c r="C76" s="14" t="s">
        <v>339</v>
      </c>
      <c r="D76" s="15" t="s">
        <v>18</v>
      </c>
      <c r="E76" s="14" t="s">
        <v>415</v>
      </c>
      <c r="F76" s="14" t="s">
        <v>416</v>
      </c>
      <c r="G76" s="18" t="s">
        <v>21</v>
      </c>
      <c r="H76" s="14" t="s">
        <v>417</v>
      </c>
      <c r="I76" s="14" t="s">
        <v>343</v>
      </c>
      <c r="J76" s="14" t="s">
        <v>48</v>
      </c>
    </row>
    <row r="77" customFormat="false" ht="60" hidden="false" customHeight="true" outlineLevel="0" collapsed="false">
      <c r="A77" s="14" t="s">
        <v>418</v>
      </c>
      <c r="B77" s="14" t="s">
        <v>419</v>
      </c>
      <c r="C77" s="14" t="s">
        <v>339</v>
      </c>
      <c r="D77" s="19" t="s">
        <v>17</v>
      </c>
      <c r="E77" s="14" t="s">
        <v>420</v>
      </c>
      <c r="F77" s="14" t="s">
        <v>245</v>
      </c>
      <c r="G77" s="19" t="s">
        <v>23</v>
      </c>
      <c r="H77" s="14" t="s">
        <v>421</v>
      </c>
      <c r="I77" s="14" t="s">
        <v>343</v>
      </c>
      <c r="J77" s="14" t="s">
        <v>59</v>
      </c>
    </row>
    <row r="78" customFormat="false" ht="60" hidden="false" customHeight="true" outlineLevel="0" collapsed="false">
      <c r="A78" s="14" t="s">
        <v>422</v>
      </c>
      <c r="B78" s="14" t="s">
        <v>423</v>
      </c>
      <c r="C78" s="14" t="s">
        <v>339</v>
      </c>
      <c r="D78" s="17" t="s">
        <v>19</v>
      </c>
      <c r="E78" s="14" t="s">
        <v>424</v>
      </c>
      <c r="F78" s="14" t="s">
        <v>425</v>
      </c>
      <c r="G78" s="16" t="s">
        <v>22</v>
      </c>
      <c r="H78" s="14" t="s">
        <v>426</v>
      </c>
      <c r="I78" s="14" t="s">
        <v>343</v>
      </c>
      <c r="J78" s="14" t="s">
        <v>42</v>
      </c>
    </row>
    <row r="79" customFormat="false" ht="60" hidden="false" customHeight="true" outlineLevel="0" collapsed="false">
      <c r="A79" s="14" t="s">
        <v>427</v>
      </c>
      <c r="B79" s="14" t="s">
        <v>428</v>
      </c>
      <c r="C79" s="14" t="s">
        <v>339</v>
      </c>
      <c r="D79" s="17" t="s">
        <v>19</v>
      </c>
      <c r="E79" s="14" t="s">
        <v>429</v>
      </c>
      <c r="F79" s="14" t="s">
        <v>430</v>
      </c>
      <c r="G79" s="16" t="s">
        <v>22</v>
      </c>
      <c r="H79" s="14" t="s">
        <v>431</v>
      </c>
      <c r="I79" s="14" t="s">
        <v>343</v>
      </c>
      <c r="J79" s="14" t="s">
        <v>42</v>
      </c>
    </row>
    <row r="80" customFormat="false" ht="60" hidden="false" customHeight="true" outlineLevel="0" collapsed="false">
      <c r="A80" s="14" t="s">
        <v>432</v>
      </c>
      <c r="B80" s="14" t="s">
        <v>433</v>
      </c>
      <c r="C80" s="14" t="s">
        <v>339</v>
      </c>
      <c r="D80" s="15" t="s">
        <v>18</v>
      </c>
      <c r="E80" s="14" t="s">
        <v>434</v>
      </c>
      <c r="F80" s="14" t="s">
        <v>435</v>
      </c>
      <c r="G80" s="16" t="s">
        <v>22</v>
      </c>
      <c r="H80" s="14" t="s">
        <v>436</v>
      </c>
      <c r="I80" s="14" t="s">
        <v>343</v>
      </c>
      <c r="J80" s="14" t="s">
        <v>42</v>
      </c>
    </row>
    <row r="81" customFormat="false" ht="60" hidden="false" customHeight="true" outlineLevel="0" collapsed="false">
      <c r="A81" s="14" t="s">
        <v>437</v>
      </c>
      <c r="B81" s="14" t="s">
        <v>438</v>
      </c>
      <c r="C81" s="14" t="s">
        <v>339</v>
      </c>
      <c r="D81" s="15" t="s">
        <v>18</v>
      </c>
      <c r="E81" s="14" t="s">
        <v>439</v>
      </c>
      <c r="F81" s="14" t="s">
        <v>440</v>
      </c>
      <c r="G81" s="19" t="s">
        <v>23</v>
      </c>
      <c r="H81" s="14" t="s">
        <v>441</v>
      </c>
      <c r="I81" s="14" t="s">
        <v>343</v>
      </c>
      <c r="J81" s="14" t="s">
        <v>59</v>
      </c>
    </row>
    <row r="82" customFormat="false" ht="60" hidden="false" customHeight="true" outlineLevel="0" collapsed="false">
      <c r="A82" s="14" t="s">
        <v>442</v>
      </c>
      <c r="B82" s="14" t="s">
        <v>443</v>
      </c>
      <c r="C82" s="14" t="s">
        <v>339</v>
      </c>
      <c r="D82" s="15" t="s">
        <v>18</v>
      </c>
      <c r="E82" s="14" t="s">
        <v>444</v>
      </c>
      <c r="F82" s="14" t="s">
        <v>445</v>
      </c>
      <c r="G82" s="16" t="s">
        <v>22</v>
      </c>
      <c r="H82" s="14" t="s">
        <v>446</v>
      </c>
      <c r="I82" s="14" t="s">
        <v>343</v>
      </c>
      <c r="J82" s="14" t="s">
        <v>42</v>
      </c>
    </row>
    <row r="83" customFormat="false" ht="60" hidden="false" customHeight="true" outlineLevel="0" collapsed="false">
      <c r="A83" s="14" t="s">
        <v>447</v>
      </c>
      <c r="B83" s="14" t="s">
        <v>448</v>
      </c>
      <c r="C83" s="14" t="s">
        <v>339</v>
      </c>
      <c r="D83" s="17" t="s">
        <v>19</v>
      </c>
      <c r="E83" s="14" t="s">
        <v>449</v>
      </c>
      <c r="F83" s="14" t="s">
        <v>450</v>
      </c>
      <c r="G83" s="19" t="s">
        <v>23</v>
      </c>
      <c r="H83" s="14" t="s">
        <v>451</v>
      </c>
      <c r="I83" s="14" t="s">
        <v>343</v>
      </c>
      <c r="J83" s="14" t="s">
        <v>59</v>
      </c>
    </row>
    <row r="84" customFormat="false" ht="60" hidden="false" customHeight="true" outlineLevel="0" collapsed="false">
      <c r="A84" s="14" t="s">
        <v>452</v>
      </c>
      <c r="B84" s="14" t="s">
        <v>453</v>
      </c>
      <c r="C84" s="14" t="s">
        <v>339</v>
      </c>
      <c r="D84" s="15" t="s">
        <v>18</v>
      </c>
      <c r="E84" s="14" t="s">
        <v>454</v>
      </c>
      <c r="F84" s="14" t="s">
        <v>455</v>
      </c>
      <c r="G84" s="16" t="s">
        <v>22</v>
      </c>
      <c r="H84" s="14" t="s">
        <v>456</v>
      </c>
      <c r="I84" s="14" t="s">
        <v>343</v>
      </c>
      <c r="J84" s="14" t="s">
        <v>42</v>
      </c>
    </row>
    <row r="85" customFormat="false" ht="60" hidden="false" customHeight="true" outlineLevel="0" collapsed="false">
      <c r="A85" s="14" t="s">
        <v>457</v>
      </c>
      <c r="B85" s="14" t="s">
        <v>458</v>
      </c>
      <c r="C85" s="14" t="s">
        <v>339</v>
      </c>
      <c r="D85" s="17" t="s">
        <v>19</v>
      </c>
      <c r="E85" s="14" t="s">
        <v>459</v>
      </c>
      <c r="F85" s="14" t="s">
        <v>460</v>
      </c>
      <c r="G85" s="18" t="s">
        <v>21</v>
      </c>
      <c r="H85" s="14" t="s">
        <v>461</v>
      </c>
      <c r="I85" s="14" t="s">
        <v>343</v>
      </c>
      <c r="J85" s="14" t="s">
        <v>48</v>
      </c>
    </row>
    <row r="86" customFormat="false" ht="60" hidden="false" customHeight="true" outlineLevel="0" collapsed="false">
      <c r="A86" s="14" t="s">
        <v>462</v>
      </c>
      <c r="B86" s="14" t="s">
        <v>463</v>
      </c>
      <c r="C86" s="14" t="s">
        <v>339</v>
      </c>
      <c r="D86" s="17" t="s">
        <v>19</v>
      </c>
      <c r="E86" s="14" t="s">
        <v>464</v>
      </c>
      <c r="F86" s="14" t="s">
        <v>465</v>
      </c>
      <c r="G86" s="16" t="s">
        <v>22</v>
      </c>
      <c r="H86" s="14" t="s">
        <v>466</v>
      </c>
      <c r="I86" s="14" t="s">
        <v>343</v>
      </c>
      <c r="J86" s="14" t="s">
        <v>42</v>
      </c>
    </row>
    <row r="87" customFormat="false" ht="60" hidden="false" customHeight="true" outlineLevel="0" collapsed="false">
      <c r="A87" s="14" t="s">
        <v>467</v>
      </c>
      <c r="B87" s="14" t="s">
        <v>468</v>
      </c>
      <c r="C87" s="14" t="s">
        <v>339</v>
      </c>
      <c r="D87" s="17" t="s">
        <v>19</v>
      </c>
      <c r="E87" s="14" t="s">
        <v>469</v>
      </c>
      <c r="F87" s="14" t="s">
        <v>470</v>
      </c>
      <c r="G87" s="16" t="s">
        <v>22</v>
      </c>
      <c r="H87" s="14" t="s">
        <v>471</v>
      </c>
      <c r="I87" s="14" t="s">
        <v>343</v>
      </c>
      <c r="J87" s="14" t="s">
        <v>42</v>
      </c>
    </row>
    <row r="88" customFormat="false" ht="60" hidden="false" customHeight="true" outlineLevel="0" collapsed="false">
      <c r="A88" s="14" t="s">
        <v>472</v>
      </c>
      <c r="B88" s="14" t="s">
        <v>473</v>
      </c>
      <c r="C88" s="14" t="s">
        <v>339</v>
      </c>
      <c r="D88" s="17" t="s">
        <v>19</v>
      </c>
      <c r="E88" s="14" t="s">
        <v>474</v>
      </c>
      <c r="F88" s="14" t="s">
        <v>475</v>
      </c>
      <c r="G88" s="18" t="s">
        <v>21</v>
      </c>
      <c r="H88" s="14" t="s">
        <v>476</v>
      </c>
      <c r="I88" s="14" t="s">
        <v>343</v>
      </c>
      <c r="J88" s="14" t="s">
        <v>48</v>
      </c>
    </row>
    <row r="89" customFormat="false" ht="60" hidden="false" customHeight="true" outlineLevel="0" collapsed="false">
      <c r="A89" s="14" t="s">
        <v>477</v>
      </c>
      <c r="B89" s="14" t="s">
        <v>478</v>
      </c>
      <c r="C89" s="14" t="s">
        <v>339</v>
      </c>
      <c r="D89" s="17" t="s">
        <v>19</v>
      </c>
      <c r="E89" s="14" t="s">
        <v>479</v>
      </c>
      <c r="F89" s="14" t="s">
        <v>480</v>
      </c>
      <c r="G89" s="18" t="s">
        <v>21</v>
      </c>
      <c r="H89" s="14" t="s">
        <v>481</v>
      </c>
      <c r="I89" s="14" t="s">
        <v>343</v>
      </c>
      <c r="J89" s="14" t="s">
        <v>48</v>
      </c>
    </row>
    <row r="90" customFormat="false" ht="60" hidden="false" customHeight="true" outlineLevel="0" collapsed="false">
      <c r="A90" s="14" t="s">
        <v>482</v>
      </c>
      <c r="B90" s="14" t="s">
        <v>483</v>
      </c>
      <c r="C90" s="14" t="s">
        <v>339</v>
      </c>
      <c r="D90" s="17" t="s">
        <v>19</v>
      </c>
      <c r="E90" s="14" t="s">
        <v>484</v>
      </c>
      <c r="F90" s="14" t="s">
        <v>485</v>
      </c>
      <c r="G90" s="19" t="s">
        <v>23</v>
      </c>
      <c r="H90" s="14" t="s">
        <v>486</v>
      </c>
      <c r="I90" s="14" t="s">
        <v>343</v>
      </c>
      <c r="J90" s="14" t="s">
        <v>59</v>
      </c>
    </row>
    <row r="91" customFormat="false" ht="60" hidden="false" customHeight="true" outlineLevel="0" collapsed="false">
      <c r="A91" s="14" t="s">
        <v>487</v>
      </c>
      <c r="B91" s="14" t="s">
        <v>488</v>
      </c>
      <c r="C91" s="14" t="s">
        <v>339</v>
      </c>
      <c r="D91" s="15" t="s">
        <v>18</v>
      </c>
      <c r="E91" s="14" t="s">
        <v>489</v>
      </c>
      <c r="F91" s="14" t="s">
        <v>490</v>
      </c>
      <c r="G91" s="16" t="s">
        <v>22</v>
      </c>
      <c r="H91" s="14" t="s">
        <v>491</v>
      </c>
      <c r="I91" s="14" t="s">
        <v>343</v>
      </c>
      <c r="J91" s="14" t="s">
        <v>42</v>
      </c>
    </row>
    <row r="92" customFormat="false" ht="60" hidden="false" customHeight="true" outlineLevel="0" collapsed="false">
      <c r="A92" s="14" t="s">
        <v>492</v>
      </c>
      <c r="B92" s="14" t="s">
        <v>493</v>
      </c>
      <c r="C92" s="14" t="s">
        <v>339</v>
      </c>
      <c r="D92" s="15" t="s">
        <v>18</v>
      </c>
      <c r="E92" s="14" t="s">
        <v>494</v>
      </c>
      <c r="F92" s="14" t="s">
        <v>495</v>
      </c>
      <c r="G92" s="16" t="s">
        <v>22</v>
      </c>
      <c r="H92" s="14" t="s">
        <v>496</v>
      </c>
      <c r="I92" s="14" t="s">
        <v>343</v>
      </c>
      <c r="J92" s="14" t="s">
        <v>42</v>
      </c>
    </row>
    <row r="93" customFormat="false" ht="60" hidden="false" customHeight="true" outlineLevel="0" collapsed="false">
      <c r="A93" s="14" t="s">
        <v>497</v>
      </c>
      <c r="B93" s="14" t="s">
        <v>498</v>
      </c>
      <c r="C93" s="14" t="s">
        <v>339</v>
      </c>
      <c r="D93" s="17" t="s">
        <v>19</v>
      </c>
      <c r="E93" s="14" t="s">
        <v>499</v>
      </c>
      <c r="F93" s="14" t="s">
        <v>500</v>
      </c>
      <c r="G93" s="18" t="s">
        <v>21</v>
      </c>
      <c r="H93" s="14" t="s">
        <v>501</v>
      </c>
      <c r="I93" s="14" t="s">
        <v>343</v>
      </c>
      <c r="J93" s="14" t="s">
        <v>48</v>
      </c>
    </row>
    <row r="94" customFormat="false" ht="60" hidden="false" customHeight="true" outlineLevel="0" collapsed="false">
      <c r="A94" s="14" t="s">
        <v>502</v>
      </c>
      <c r="B94" s="14" t="s">
        <v>503</v>
      </c>
      <c r="C94" s="14" t="s">
        <v>339</v>
      </c>
      <c r="D94" s="17" t="s">
        <v>19</v>
      </c>
      <c r="E94" s="14" t="s">
        <v>504</v>
      </c>
      <c r="F94" s="14" t="s">
        <v>505</v>
      </c>
      <c r="G94" s="19" t="s">
        <v>23</v>
      </c>
      <c r="H94" s="14" t="s">
        <v>506</v>
      </c>
      <c r="I94" s="14" t="s">
        <v>343</v>
      </c>
      <c r="J94" s="14" t="s">
        <v>59</v>
      </c>
    </row>
  </sheetData>
  <autoFilter ref="A1:J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20"/>
    <col collapsed="false" customWidth="true" hidden="false" outlineLevel="0" max="7" min="7" style="0" width="16"/>
  </cols>
  <sheetData>
    <row r="2" customFormat="false" ht="17.35" hidden="false" customHeight="false" outlineLevel="0" collapsed="false">
      <c r="B2" s="20" t="s">
        <v>507</v>
      </c>
    </row>
    <row r="3" customFormat="false" ht="15" hidden="false" customHeight="false" outlineLevel="0" collapsed="false">
      <c r="B3" s="12" t="s">
        <v>1</v>
      </c>
    </row>
    <row r="5" customFormat="false" ht="15" hidden="false" customHeight="false" outlineLevel="0" collapsed="false">
      <c r="B5" s="21" t="s">
        <v>508</v>
      </c>
    </row>
    <row r="6" customFormat="false" ht="15" hidden="false" customHeight="false" outlineLevel="0" collapsed="false">
      <c r="B6" s="22" t="s">
        <v>28</v>
      </c>
      <c r="C6" s="22" t="s">
        <v>509</v>
      </c>
      <c r="D6" s="22" t="s">
        <v>510</v>
      </c>
    </row>
    <row r="7" customFormat="false" ht="15" hidden="false" customHeight="false" outlineLevel="0" collapsed="false">
      <c r="B7" s="6" t="s">
        <v>17</v>
      </c>
      <c r="C7" s="23" t="n">
        <f aca="false">COUNTIF('Gap Assessment'!D2:D94,B7)</f>
        <v>11</v>
      </c>
      <c r="D7" s="24" t="n">
        <f aca="false">C7/93</f>
        <v>0.118279569892473</v>
      </c>
    </row>
    <row r="8" customFormat="false" ht="15" hidden="false" customHeight="false" outlineLevel="0" collapsed="false">
      <c r="B8" s="7" t="s">
        <v>18</v>
      </c>
      <c r="C8" s="23" t="n">
        <f aca="false">COUNTIF('Gap Assessment'!D2:D94,B8)</f>
        <v>44</v>
      </c>
      <c r="D8" s="24" t="n">
        <f aca="false">C8/93</f>
        <v>0.473118279569893</v>
      </c>
    </row>
    <row r="9" customFormat="false" ht="15" hidden="false" customHeight="false" outlineLevel="0" collapsed="false">
      <c r="B9" s="8" t="s">
        <v>19</v>
      </c>
      <c r="C9" s="23" t="n">
        <f aca="false">COUNTIF('Gap Assessment'!D2:D94,B9)</f>
        <v>38</v>
      </c>
      <c r="D9" s="24" t="n">
        <f aca="false">C9/93</f>
        <v>0.408602150537634</v>
      </c>
    </row>
    <row r="10" customFormat="false" ht="15" hidden="false" customHeight="false" outlineLevel="0" collapsed="false">
      <c r="B10" s="25" t="s">
        <v>511</v>
      </c>
      <c r="C10" s="26" t="n">
        <f aca="false">SUM(C7:C9)</f>
        <v>93</v>
      </c>
      <c r="D10" s="27"/>
    </row>
    <row r="13" customFormat="false" ht="15" hidden="false" customHeight="false" outlineLevel="0" collapsed="false">
      <c r="B13" s="21" t="s">
        <v>512</v>
      </c>
    </row>
    <row r="14" customFormat="false" ht="15" hidden="false" customHeight="false" outlineLevel="0" collapsed="false">
      <c r="B14" s="22" t="s">
        <v>513</v>
      </c>
      <c r="C14" s="22" t="s">
        <v>509</v>
      </c>
      <c r="D14" s="22" t="s">
        <v>510</v>
      </c>
    </row>
    <row r="15" customFormat="false" ht="15" hidden="false" customHeight="false" outlineLevel="0" collapsed="false">
      <c r="B15" s="9" t="s">
        <v>21</v>
      </c>
      <c r="C15" s="23" t="n">
        <f aca="false">COUNTIF('Gap Assessment'!G2:G94,B15)</f>
        <v>28</v>
      </c>
      <c r="D15" s="24" t="n">
        <f aca="false">C15/93</f>
        <v>0.301075268817204</v>
      </c>
    </row>
    <row r="16" customFormat="false" ht="15" hidden="false" customHeight="false" outlineLevel="0" collapsed="false">
      <c r="B16" s="10" t="s">
        <v>22</v>
      </c>
      <c r="C16" s="23" t="n">
        <f aca="false">COUNTIF('Gap Assessment'!G2:G94,B16)</f>
        <v>40</v>
      </c>
      <c r="D16" s="24" t="n">
        <f aca="false">C16/93</f>
        <v>0.43010752688172</v>
      </c>
    </row>
    <row r="17" customFormat="false" ht="15" hidden="false" customHeight="false" outlineLevel="0" collapsed="false">
      <c r="B17" s="11" t="s">
        <v>23</v>
      </c>
      <c r="C17" s="23" t="n">
        <f aca="false">COUNTIF('Gap Assessment'!G2:G94,B17)</f>
        <v>25</v>
      </c>
      <c r="D17" s="24" t="n">
        <f aca="false">C17/93</f>
        <v>0.268817204301075</v>
      </c>
    </row>
    <row r="18" customFormat="false" ht="15" hidden="false" customHeight="false" outlineLevel="0" collapsed="false">
      <c r="B18" s="25" t="s">
        <v>511</v>
      </c>
      <c r="C18" s="26" t="n">
        <f aca="false">SUM(C15:C17)</f>
        <v>93</v>
      </c>
      <c r="D18" s="27"/>
    </row>
    <row r="21" customFormat="false" ht="15" hidden="false" customHeight="false" outlineLevel="0" collapsed="false">
      <c r="B21" s="21" t="s">
        <v>514</v>
      </c>
    </row>
    <row r="22" customFormat="false" ht="26.85" hidden="false" customHeight="false" outlineLevel="0" collapsed="false">
      <c r="B22" s="13" t="s">
        <v>27</v>
      </c>
      <c r="C22" s="13" t="s">
        <v>511</v>
      </c>
      <c r="D22" s="13" t="s">
        <v>17</v>
      </c>
      <c r="E22" s="13" t="s">
        <v>515</v>
      </c>
      <c r="F22" s="13" t="s">
        <v>516</v>
      </c>
      <c r="G22" s="13" t="s">
        <v>517</v>
      </c>
    </row>
    <row r="23" customFormat="false" ht="15" hidden="false" customHeight="false" outlineLevel="0" collapsed="false">
      <c r="B23" s="28" t="s">
        <v>37</v>
      </c>
      <c r="C23" s="23" t="n">
        <f aca="false">COUNTIF('Gap Assessment'!C2:C94,B23)</f>
        <v>37</v>
      </c>
      <c r="D23" s="23" t="n">
        <f aca="false">COUNTIFS('Gap Assessment'!C2:C94,B23,'Gap Assessment'!D2:D94,"Implemented")</f>
        <v>1</v>
      </c>
      <c r="E23" s="23" t="n">
        <f aca="false">COUNTIFS('Gap Assessment'!C2:C94,B23,'Gap Assessment'!D2:D94,"Partially Implemented")</f>
        <v>19</v>
      </c>
      <c r="F23" s="23" t="n">
        <f aca="false">COUNTIFS('Gap Assessment'!C2:C94,B23,'Gap Assessment'!D2:D94,"Not Implemented")</f>
        <v>17</v>
      </c>
      <c r="G23" s="23" t="n">
        <f aca="false">COUNTIFS('Gap Assessment'!C2:C94,B23,'Gap Assessment'!G2:G94,"High")</f>
        <v>13</v>
      </c>
    </row>
    <row r="24" customFormat="false" ht="15" hidden="false" customHeight="false" outlineLevel="0" collapsed="false">
      <c r="B24" s="28" t="s">
        <v>227</v>
      </c>
      <c r="C24" s="23" t="n">
        <f aca="false">COUNTIF('Gap Assessment'!C2:C94,B24)</f>
        <v>8</v>
      </c>
      <c r="D24" s="23" t="n">
        <f aca="false">COUNTIFS('Gap Assessment'!C2:C94,B24,'Gap Assessment'!D2:D94,"Implemented")</f>
        <v>3</v>
      </c>
      <c r="E24" s="23" t="n">
        <f aca="false">COUNTIFS('Gap Assessment'!C2:C94,B24,'Gap Assessment'!D2:D94,"Partially Implemented")</f>
        <v>3</v>
      </c>
      <c r="F24" s="23" t="n">
        <f aca="false">COUNTIFS('Gap Assessment'!C2:C94,B24,'Gap Assessment'!D2:D94,"Not Implemented")</f>
        <v>2</v>
      </c>
      <c r="G24" s="23" t="n">
        <f aca="false">COUNTIFS('Gap Assessment'!C2:C94,B24,'Gap Assessment'!G2:G94,"High")</f>
        <v>2</v>
      </c>
    </row>
    <row r="25" customFormat="false" ht="15" hidden="false" customHeight="false" outlineLevel="0" collapsed="false">
      <c r="B25" s="28" t="s">
        <v>269</v>
      </c>
      <c r="C25" s="23" t="n">
        <f aca="false">COUNTIF('Gap Assessment'!C2:C94,B25)</f>
        <v>14</v>
      </c>
      <c r="D25" s="23" t="n">
        <f aca="false">COUNTIFS('Gap Assessment'!C2:C94,B25,'Gap Assessment'!D2:D94,"Implemented")</f>
        <v>3</v>
      </c>
      <c r="E25" s="23" t="n">
        <f aca="false">COUNTIFS('Gap Assessment'!C2:C94,B25,'Gap Assessment'!D2:D94,"Partially Implemented")</f>
        <v>7</v>
      </c>
      <c r="F25" s="23" t="n">
        <f aca="false">COUNTIFS('Gap Assessment'!C2:C94,B25,'Gap Assessment'!D2:D94,"Not Implemented")</f>
        <v>4</v>
      </c>
      <c r="G25" s="23" t="n">
        <f aca="false">COUNTIFS('Gap Assessment'!C2:C94,B25,'Gap Assessment'!G2:G94,"High")</f>
        <v>1</v>
      </c>
    </row>
    <row r="26" customFormat="false" ht="15" hidden="false" customHeight="false" outlineLevel="0" collapsed="false">
      <c r="B26" s="28" t="s">
        <v>339</v>
      </c>
      <c r="C26" s="23" t="n">
        <f aca="false">COUNTIF('Gap Assessment'!C2:C94,B26)</f>
        <v>34</v>
      </c>
      <c r="D26" s="23" t="n">
        <f aca="false">COUNTIFS('Gap Assessment'!C2:C94,B26,'Gap Assessment'!D2:D94,"Implemented")</f>
        <v>4</v>
      </c>
      <c r="E26" s="23" t="n">
        <f aca="false">COUNTIFS('Gap Assessment'!C2:C94,B26,'Gap Assessment'!D2:D94,"Partially Implemented")</f>
        <v>15</v>
      </c>
      <c r="F26" s="23" t="n">
        <f aca="false">COUNTIFS('Gap Assessment'!C2:C94,B26,'Gap Assessment'!D2:D94,"Not Implemented")</f>
        <v>15</v>
      </c>
      <c r="G26" s="23" t="n">
        <f aca="false">COUNTIFS('Gap Assessment'!C2:C94,B26,'Gap Assessment'!G2:G94,"High")</f>
        <v>12</v>
      </c>
    </row>
    <row r="27" customFormat="false" ht="15" hidden="false" customHeight="false" outlineLevel="0" collapsed="false">
      <c r="B27" s="25" t="s">
        <v>511</v>
      </c>
      <c r="C27" s="26" t="n">
        <f aca="false">SUM(C23:C26)</f>
        <v>93</v>
      </c>
      <c r="D27" s="26" t="n">
        <f aca="false">SUM(D23:D26)</f>
        <v>11</v>
      </c>
      <c r="E27" s="26" t="n">
        <f aca="false">SUM(E23:E26)</f>
        <v>44</v>
      </c>
      <c r="F27" s="26" t="n">
        <f aca="false">SUM(F23:F26)</f>
        <v>38</v>
      </c>
      <c r="G27" s="26" t="n">
        <f aca="false">SUM(G23:G26)</f>
        <v>28</v>
      </c>
    </row>
    <row r="30" customFormat="false" ht="15" hidden="false" customHeight="false" outlineLevel="0" collapsed="false">
      <c r="B30" s="21" t="s">
        <v>518</v>
      </c>
    </row>
    <row r="31" customFormat="false" ht="15" hidden="false" customHeight="false" outlineLevel="0" collapsed="false">
      <c r="B31" s="12" t="s">
        <v>519</v>
      </c>
    </row>
    <row r="32" customFormat="false" ht="22.05" hidden="false" customHeight="false" outlineLevel="0" collapsed="false">
      <c r="B32" s="29" t="n">
        <f aca="false">(C7*1 + C8*0.5 + C9*0) / 93</f>
        <v>0.354838709677419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5" min="5" style="0" width="18"/>
  </cols>
  <sheetData>
    <row r="2" customFormat="false" ht="17.35" hidden="false" customHeight="false" outlineLevel="0" collapsed="false">
      <c r="A2" s="20" t="s">
        <v>520</v>
      </c>
    </row>
    <row r="3" customFormat="false" ht="15" hidden="false" customHeight="false" outlineLevel="0" collapsed="false">
      <c r="A3" s="12" t="s">
        <v>521</v>
      </c>
    </row>
    <row r="5" customFormat="false" ht="15" hidden="false" customHeight="false" outlineLevel="0" collapsed="false">
      <c r="A5" s="21" t="s">
        <v>522</v>
      </c>
    </row>
    <row r="6" customFormat="false" ht="26.85" hidden="false" customHeight="false" outlineLevel="0" collapsed="false">
      <c r="A6" s="13" t="s">
        <v>25</v>
      </c>
      <c r="B6" s="13" t="s">
        <v>26</v>
      </c>
      <c r="C6" s="13" t="s">
        <v>30</v>
      </c>
      <c r="D6" s="13" t="s">
        <v>523</v>
      </c>
      <c r="E6" s="13" t="s">
        <v>524</v>
      </c>
    </row>
    <row r="7" customFormat="false" ht="45" hidden="false" customHeight="true" outlineLevel="0" collapsed="false">
      <c r="A7" s="17" t="s">
        <v>43</v>
      </c>
      <c r="B7" s="14" t="s">
        <v>44</v>
      </c>
      <c r="C7" s="14" t="s">
        <v>46</v>
      </c>
      <c r="D7" s="14" t="s">
        <v>47</v>
      </c>
      <c r="E7" s="14" t="s">
        <v>41</v>
      </c>
    </row>
    <row r="8" customFormat="false" ht="45" hidden="false" customHeight="true" outlineLevel="0" collapsed="false">
      <c r="A8" s="17" t="s">
        <v>75</v>
      </c>
      <c r="B8" s="14" t="s">
        <v>76</v>
      </c>
      <c r="C8" s="14" t="s">
        <v>78</v>
      </c>
      <c r="D8" s="14" t="s">
        <v>79</v>
      </c>
      <c r="E8" s="14" t="s">
        <v>41</v>
      </c>
    </row>
    <row r="9" customFormat="false" ht="45" hidden="false" customHeight="true" outlineLevel="0" collapsed="false">
      <c r="A9" s="17" t="s">
        <v>80</v>
      </c>
      <c r="B9" s="14" t="s">
        <v>81</v>
      </c>
      <c r="C9" s="14" t="s">
        <v>83</v>
      </c>
      <c r="D9" s="14" t="s">
        <v>84</v>
      </c>
      <c r="E9" s="14" t="s">
        <v>41</v>
      </c>
    </row>
    <row r="10" customFormat="false" ht="45" hidden="false" customHeight="true" outlineLevel="0" collapsed="false">
      <c r="A10" s="17" t="s">
        <v>95</v>
      </c>
      <c r="B10" s="14" t="s">
        <v>96</v>
      </c>
      <c r="C10" s="14" t="s">
        <v>98</v>
      </c>
      <c r="D10" s="14" t="s">
        <v>99</v>
      </c>
      <c r="E10" s="14" t="s">
        <v>41</v>
      </c>
    </row>
    <row r="11" customFormat="false" ht="45" hidden="false" customHeight="true" outlineLevel="0" collapsed="false">
      <c r="A11" s="17" t="s">
        <v>105</v>
      </c>
      <c r="B11" s="14" t="s">
        <v>106</v>
      </c>
      <c r="C11" s="14" t="s">
        <v>108</v>
      </c>
      <c r="D11" s="14" t="s">
        <v>109</v>
      </c>
      <c r="E11" s="14" t="s">
        <v>41</v>
      </c>
    </row>
    <row r="12" customFormat="false" ht="45" hidden="false" customHeight="true" outlineLevel="0" collapsed="false">
      <c r="A12" s="17" t="s">
        <v>110</v>
      </c>
      <c r="B12" s="14" t="s">
        <v>111</v>
      </c>
      <c r="C12" s="14" t="s">
        <v>113</v>
      </c>
      <c r="D12" s="14" t="s">
        <v>114</v>
      </c>
      <c r="E12" s="14" t="s">
        <v>41</v>
      </c>
    </row>
    <row r="13" customFormat="false" ht="45" hidden="false" customHeight="true" outlineLevel="0" collapsed="false">
      <c r="A13" s="17" t="s">
        <v>125</v>
      </c>
      <c r="B13" s="14" t="s">
        <v>126</v>
      </c>
      <c r="C13" s="14" t="s">
        <v>128</v>
      </c>
      <c r="D13" s="14" t="s">
        <v>129</v>
      </c>
      <c r="E13" s="14" t="s">
        <v>41</v>
      </c>
    </row>
    <row r="14" customFormat="false" ht="45" hidden="false" customHeight="true" outlineLevel="0" collapsed="false">
      <c r="A14" s="17" t="s">
        <v>130</v>
      </c>
      <c r="B14" s="14" t="s">
        <v>131</v>
      </c>
      <c r="C14" s="14" t="s">
        <v>133</v>
      </c>
      <c r="D14" s="14" t="s">
        <v>134</v>
      </c>
      <c r="E14" s="14" t="s">
        <v>41</v>
      </c>
    </row>
    <row r="15" customFormat="false" ht="45" hidden="false" customHeight="true" outlineLevel="0" collapsed="false">
      <c r="A15" s="17" t="s">
        <v>150</v>
      </c>
      <c r="B15" s="14" t="s">
        <v>151</v>
      </c>
      <c r="C15" s="14" t="s">
        <v>153</v>
      </c>
      <c r="D15" s="14" t="s">
        <v>154</v>
      </c>
      <c r="E15" s="14" t="s">
        <v>41</v>
      </c>
    </row>
    <row r="16" customFormat="false" ht="45" hidden="false" customHeight="true" outlineLevel="0" collapsed="false">
      <c r="A16" s="17" t="s">
        <v>155</v>
      </c>
      <c r="B16" s="14" t="s">
        <v>156</v>
      </c>
      <c r="C16" s="14" t="s">
        <v>158</v>
      </c>
      <c r="D16" s="14" t="s">
        <v>159</v>
      </c>
      <c r="E16" s="14" t="s">
        <v>41</v>
      </c>
    </row>
    <row r="17" customFormat="false" ht="45" hidden="false" customHeight="true" outlineLevel="0" collapsed="false">
      <c r="A17" s="17" t="s">
        <v>165</v>
      </c>
      <c r="B17" s="14" t="s">
        <v>166</v>
      </c>
      <c r="C17" s="14" t="s">
        <v>168</v>
      </c>
      <c r="D17" s="14" t="s">
        <v>169</v>
      </c>
      <c r="E17" s="14" t="s">
        <v>41</v>
      </c>
    </row>
    <row r="18" customFormat="false" ht="45" hidden="false" customHeight="true" outlineLevel="0" collapsed="false">
      <c r="A18" s="17" t="s">
        <v>185</v>
      </c>
      <c r="B18" s="14" t="s">
        <v>186</v>
      </c>
      <c r="C18" s="14" t="s">
        <v>188</v>
      </c>
      <c r="D18" s="14" t="s">
        <v>189</v>
      </c>
      <c r="E18" s="14" t="s">
        <v>41</v>
      </c>
    </row>
    <row r="19" customFormat="false" ht="45" hidden="false" customHeight="true" outlineLevel="0" collapsed="false">
      <c r="A19" s="17" t="s">
        <v>205</v>
      </c>
      <c r="B19" s="14" t="s">
        <v>206</v>
      </c>
      <c r="C19" s="14" t="s">
        <v>208</v>
      </c>
      <c r="D19" s="14" t="s">
        <v>209</v>
      </c>
      <c r="E19" s="14" t="s">
        <v>41</v>
      </c>
    </row>
    <row r="20" customFormat="false" ht="45" hidden="false" customHeight="true" outlineLevel="0" collapsed="false">
      <c r="A20" s="17" t="s">
        <v>237</v>
      </c>
      <c r="B20" s="14" t="s">
        <v>238</v>
      </c>
      <c r="C20" s="14" t="s">
        <v>240</v>
      </c>
      <c r="D20" s="14" t="s">
        <v>241</v>
      </c>
      <c r="E20" s="14" t="s">
        <v>231</v>
      </c>
    </row>
    <row r="21" customFormat="false" ht="45" hidden="false" customHeight="true" outlineLevel="0" collapsed="false">
      <c r="A21" s="17" t="s">
        <v>257</v>
      </c>
      <c r="B21" s="14" t="s">
        <v>258</v>
      </c>
      <c r="C21" s="14" t="s">
        <v>260</v>
      </c>
      <c r="D21" s="14" t="s">
        <v>261</v>
      </c>
      <c r="E21" s="14" t="s">
        <v>231</v>
      </c>
    </row>
    <row r="22" customFormat="false" ht="45" hidden="false" customHeight="true" outlineLevel="0" collapsed="false">
      <c r="A22" s="17" t="s">
        <v>332</v>
      </c>
      <c r="B22" s="14" t="s">
        <v>333</v>
      </c>
      <c r="C22" s="14" t="s">
        <v>335</v>
      </c>
      <c r="D22" s="14" t="s">
        <v>336</v>
      </c>
      <c r="E22" s="14" t="s">
        <v>273</v>
      </c>
    </row>
    <row r="23" customFormat="false" ht="45" hidden="false" customHeight="true" outlineLevel="0" collapsed="false">
      <c r="A23" s="17" t="s">
        <v>344</v>
      </c>
      <c r="B23" s="14" t="s">
        <v>345</v>
      </c>
      <c r="C23" s="14" t="s">
        <v>347</v>
      </c>
      <c r="D23" s="14" t="s">
        <v>348</v>
      </c>
      <c r="E23" s="14" t="s">
        <v>343</v>
      </c>
    </row>
    <row r="24" customFormat="false" ht="45" hidden="false" customHeight="true" outlineLevel="0" collapsed="false">
      <c r="A24" s="17" t="s">
        <v>349</v>
      </c>
      <c r="B24" s="14" t="s">
        <v>350</v>
      </c>
      <c r="C24" s="14" t="s">
        <v>352</v>
      </c>
      <c r="D24" s="14" t="s">
        <v>353</v>
      </c>
      <c r="E24" s="14" t="s">
        <v>343</v>
      </c>
    </row>
    <row r="25" customFormat="false" ht="45" hidden="false" customHeight="true" outlineLevel="0" collapsed="false">
      <c r="A25" s="17" t="s">
        <v>358</v>
      </c>
      <c r="B25" s="14" t="s">
        <v>359</v>
      </c>
      <c r="C25" s="14" t="s">
        <v>361</v>
      </c>
      <c r="D25" s="14" t="s">
        <v>362</v>
      </c>
      <c r="E25" s="14" t="s">
        <v>343</v>
      </c>
    </row>
    <row r="26" customFormat="false" ht="45" hidden="false" customHeight="true" outlineLevel="0" collapsed="false">
      <c r="A26" s="17" t="s">
        <v>373</v>
      </c>
      <c r="B26" s="14" t="s">
        <v>374</v>
      </c>
      <c r="C26" s="14" t="s">
        <v>376</v>
      </c>
      <c r="D26" s="14" t="s">
        <v>377</v>
      </c>
      <c r="E26" s="14" t="s">
        <v>343</v>
      </c>
    </row>
    <row r="27" customFormat="false" ht="45" hidden="false" customHeight="true" outlineLevel="0" collapsed="false">
      <c r="A27" s="17" t="s">
        <v>378</v>
      </c>
      <c r="B27" s="14" t="s">
        <v>379</v>
      </c>
      <c r="C27" s="14" t="s">
        <v>381</v>
      </c>
      <c r="D27" s="14" t="s">
        <v>382</v>
      </c>
      <c r="E27" s="14" t="s">
        <v>343</v>
      </c>
    </row>
    <row r="28" customFormat="false" ht="45" hidden="false" customHeight="true" outlineLevel="0" collapsed="false">
      <c r="A28" s="17" t="s">
        <v>388</v>
      </c>
      <c r="B28" s="14" t="s">
        <v>389</v>
      </c>
      <c r="C28" s="14" t="s">
        <v>391</v>
      </c>
      <c r="D28" s="14" t="s">
        <v>392</v>
      </c>
      <c r="E28" s="14" t="s">
        <v>343</v>
      </c>
    </row>
    <row r="29" customFormat="false" ht="45" hidden="false" customHeight="true" outlineLevel="0" collapsed="false">
      <c r="A29" s="17" t="s">
        <v>408</v>
      </c>
      <c r="B29" s="14" t="s">
        <v>409</v>
      </c>
      <c r="C29" s="14" t="s">
        <v>411</v>
      </c>
      <c r="D29" s="14" t="s">
        <v>412</v>
      </c>
      <c r="E29" s="14" t="s">
        <v>343</v>
      </c>
    </row>
    <row r="30" customFormat="false" ht="45" hidden="false" customHeight="true" outlineLevel="0" collapsed="false">
      <c r="A30" s="17" t="s">
        <v>413</v>
      </c>
      <c r="B30" s="14" t="s">
        <v>414</v>
      </c>
      <c r="C30" s="14" t="s">
        <v>416</v>
      </c>
      <c r="D30" s="14" t="s">
        <v>417</v>
      </c>
      <c r="E30" s="14" t="s">
        <v>343</v>
      </c>
    </row>
    <row r="31" customFormat="false" ht="45" hidden="false" customHeight="true" outlineLevel="0" collapsed="false">
      <c r="A31" s="17" t="s">
        <v>457</v>
      </c>
      <c r="B31" s="14" t="s">
        <v>458</v>
      </c>
      <c r="C31" s="14" t="s">
        <v>460</v>
      </c>
      <c r="D31" s="14" t="s">
        <v>461</v>
      </c>
      <c r="E31" s="14" t="s">
        <v>343</v>
      </c>
    </row>
    <row r="32" customFormat="false" ht="45" hidden="false" customHeight="true" outlineLevel="0" collapsed="false">
      <c r="A32" s="17" t="s">
        <v>472</v>
      </c>
      <c r="B32" s="14" t="s">
        <v>473</v>
      </c>
      <c r="C32" s="14" t="s">
        <v>475</v>
      </c>
      <c r="D32" s="14" t="s">
        <v>476</v>
      </c>
      <c r="E32" s="14" t="s">
        <v>343</v>
      </c>
    </row>
    <row r="33" customFormat="false" ht="45" hidden="false" customHeight="true" outlineLevel="0" collapsed="false">
      <c r="A33" s="17" t="s">
        <v>477</v>
      </c>
      <c r="B33" s="14" t="s">
        <v>478</v>
      </c>
      <c r="C33" s="14" t="s">
        <v>480</v>
      </c>
      <c r="D33" s="14" t="s">
        <v>481</v>
      </c>
      <c r="E33" s="14" t="s">
        <v>343</v>
      </c>
    </row>
    <row r="34" customFormat="false" ht="45" hidden="false" customHeight="true" outlineLevel="0" collapsed="false">
      <c r="A34" s="17" t="s">
        <v>497</v>
      </c>
      <c r="B34" s="14" t="s">
        <v>498</v>
      </c>
      <c r="C34" s="14" t="s">
        <v>500</v>
      </c>
      <c r="D34" s="14" t="s">
        <v>501</v>
      </c>
      <c r="E34" s="14" t="s">
        <v>343</v>
      </c>
    </row>
    <row r="37" customFormat="false" ht="15" hidden="false" customHeight="false" outlineLevel="0" collapsed="false">
      <c r="A37" s="21" t="s">
        <v>525</v>
      </c>
    </row>
    <row r="38" customFormat="false" ht="26.85" hidden="false" customHeight="false" outlineLevel="0" collapsed="false">
      <c r="A38" s="13" t="s">
        <v>25</v>
      </c>
      <c r="B38" s="13" t="s">
        <v>26</v>
      </c>
      <c r="C38" s="13" t="s">
        <v>30</v>
      </c>
      <c r="D38" s="13" t="s">
        <v>523</v>
      </c>
      <c r="E38" s="13" t="s">
        <v>524</v>
      </c>
    </row>
    <row r="39" customFormat="false" ht="45" hidden="false" customHeight="true" outlineLevel="0" collapsed="false">
      <c r="A39" s="15" t="s">
        <v>35</v>
      </c>
      <c r="B39" s="14" t="s">
        <v>36</v>
      </c>
      <c r="C39" s="14" t="s">
        <v>39</v>
      </c>
      <c r="D39" s="14" t="s">
        <v>40</v>
      </c>
      <c r="E39" s="14" t="s">
        <v>41</v>
      </c>
    </row>
    <row r="40" customFormat="false" ht="45" hidden="false" customHeight="true" outlineLevel="0" collapsed="false">
      <c r="A40" s="15" t="s">
        <v>49</v>
      </c>
      <c r="B40" s="14" t="s">
        <v>50</v>
      </c>
      <c r="C40" s="14" t="s">
        <v>52</v>
      </c>
      <c r="D40" s="14" t="s">
        <v>53</v>
      </c>
      <c r="E40" s="14" t="s">
        <v>41</v>
      </c>
    </row>
    <row r="41" customFormat="false" ht="45" hidden="false" customHeight="true" outlineLevel="0" collapsed="false">
      <c r="A41" s="15" t="s">
        <v>60</v>
      </c>
      <c r="B41" s="14" t="s">
        <v>61</v>
      </c>
      <c r="C41" s="14" t="s">
        <v>63</v>
      </c>
      <c r="D41" s="14" t="s">
        <v>64</v>
      </c>
      <c r="E41" s="14" t="s">
        <v>41</v>
      </c>
    </row>
    <row r="42" customFormat="false" ht="45" hidden="false" customHeight="true" outlineLevel="0" collapsed="false">
      <c r="A42" s="15" t="s">
        <v>70</v>
      </c>
      <c r="B42" s="14" t="s">
        <v>71</v>
      </c>
      <c r="C42" s="14" t="s">
        <v>73</v>
      </c>
      <c r="D42" s="14" t="s">
        <v>74</v>
      </c>
      <c r="E42" s="14" t="s">
        <v>41</v>
      </c>
    </row>
    <row r="43" customFormat="false" ht="45" hidden="false" customHeight="true" outlineLevel="0" collapsed="false">
      <c r="A43" s="15" t="s">
        <v>115</v>
      </c>
      <c r="B43" s="14" t="s">
        <v>116</v>
      </c>
      <c r="C43" s="14" t="s">
        <v>118</v>
      </c>
      <c r="D43" s="14" t="s">
        <v>119</v>
      </c>
      <c r="E43" s="14" t="s">
        <v>41</v>
      </c>
    </row>
    <row r="44" customFormat="false" ht="45" hidden="false" customHeight="true" outlineLevel="0" collapsed="false">
      <c r="A44" s="15" t="s">
        <v>120</v>
      </c>
      <c r="B44" s="14" t="s">
        <v>121</v>
      </c>
      <c r="C44" s="14" t="s">
        <v>123</v>
      </c>
      <c r="D44" s="14" t="s">
        <v>124</v>
      </c>
      <c r="E44" s="14" t="s">
        <v>41</v>
      </c>
    </row>
    <row r="45" customFormat="false" ht="45" hidden="false" customHeight="true" outlineLevel="0" collapsed="false">
      <c r="A45" s="15" t="s">
        <v>135</v>
      </c>
      <c r="B45" s="14" t="s">
        <v>136</v>
      </c>
      <c r="C45" s="14" t="s">
        <v>138</v>
      </c>
      <c r="D45" s="14" t="s">
        <v>139</v>
      </c>
      <c r="E45" s="14" t="s">
        <v>41</v>
      </c>
    </row>
    <row r="46" customFormat="false" ht="45" hidden="false" customHeight="true" outlineLevel="0" collapsed="false">
      <c r="A46" s="15" t="s">
        <v>140</v>
      </c>
      <c r="B46" s="14" t="s">
        <v>141</v>
      </c>
      <c r="C46" s="14" t="s">
        <v>143</v>
      </c>
      <c r="D46" s="14" t="s">
        <v>144</v>
      </c>
      <c r="E46" s="14" t="s">
        <v>41</v>
      </c>
    </row>
    <row r="47" customFormat="false" ht="45" hidden="false" customHeight="true" outlineLevel="0" collapsed="false">
      <c r="A47" s="15" t="s">
        <v>145</v>
      </c>
      <c r="B47" s="14" t="s">
        <v>146</v>
      </c>
      <c r="C47" s="14" t="s">
        <v>148</v>
      </c>
      <c r="D47" s="14" t="s">
        <v>149</v>
      </c>
      <c r="E47" s="14" t="s">
        <v>41</v>
      </c>
    </row>
    <row r="48" customFormat="false" ht="45" hidden="false" customHeight="true" outlineLevel="0" collapsed="false">
      <c r="A48" s="15" t="s">
        <v>160</v>
      </c>
      <c r="B48" s="14" t="s">
        <v>161</v>
      </c>
      <c r="C48" s="14" t="s">
        <v>163</v>
      </c>
      <c r="D48" s="14" t="s">
        <v>164</v>
      </c>
      <c r="E48" s="14" t="s">
        <v>41</v>
      </c>
    </row>
    <row r="49" customFormat="false" ht="45" hidden="false" customHeight="true" outlineLevel="0" collapsed="false">
      <c r="A49" s="15" t="s">
        <v>170</v>
      </c>
      <c r="B49" s="14" t="s">
        <v>171</v>
      </c>
      <c r="C49" s="14" t="s">
        <v>173</v>
      </c>
      <c r="D49" s="14" t="s">
        <v>174</v>
      </c>
      <c r="E49" s="14" t="s">
        <v>41</v>
      </c>
    </row>
    <row r="50" customFormat="false" ht="45" hidden="false" customHeight="true" outlineLevel="0" collapsed="false">
      <c r="A50" s="15" t="s">
        <v>175</v>
      </c>
      <c r="B50" s="14" t="s">
        <v>176</v>
      </c>
      <c r="C50" s="14" t="s">
        <v>178</v>
      </c>
      <c r="D50" s="14" t="s">
        <v>179</v>
      </c>
      <c r="E50" s="14" t="s">
        <v>41</v>
      </c>
    </row>
    <row r="51" customFormat="false" ht="45" hidden="false" customHeight="true" outlineLevel="0" collapsed="false">
      <c r="A51" s="15" t="s">
        <v>180</v>
      </c>
      <c r="B51" s="14" t="s">
        <v>181</v>
      </c>
      <c r="C51" s="14" t="s">
        <v>183</v>
      </c>
      <c r="D51" s="14" t="s">
        <v>184</v>
      </c>
      <c r="E51" s="14" t="s">
        <v>41</v>
      </c>
    </row>
    <row r="52" customFormat="false" ht="45" hidden="false" customHeight="true" outlineLevel="0" collapsed="false">
      <c r="A52" s="15" t="s">
        <v>190</v>
      </c>
      <c r="B52" s="14" t="s">
        <v>191</v>
      </c>
      <c r="C52" s="14" t="s">
        <v>193</v>
      </c>
      <c r="D52" s="14" t="s">
        <v>194</v>
      </c>
      <c r="E52" s="14" t="s">
        <v>41</v>
      </c>
    </row>
    <row r="53" customFormat="false" ht="45" hidden="false" customHeight="true" outlineLevel="0" collapsed="false">
      <c r="A53" s="15" t="s">
        <v>200</v>
      </c>
      <c r="B53" s="14" t="s">
        <v>201</v>
      </c>
      <c r="C53" s="14" t="s">
        <v>203</v>
      </c>
      <c r="D53" s="14" t="s">
        <v>204</v>
      </c>
      <c r="E53" s="14" t="s">
        <v>41</v>
      </c>
    </row>
    <row r="54" customFormat="false" ht="45" hidden="false" customHeight="true" outlineLevel="0" collapsed="false">
      <c r="A54" s="15" t="s">
        <v>210</v>
      </c>
      <c r="B54" s="14" t="s">
        <v>211</v>
      </c>
      <c r="C54" s="14" t="s">
        <v>213</v>
      </c>
      <c r="D54" s="14" t="s">
        <v>214</v>
      </c>
      <c r="E54" s="14" t="s">
        <v>41</v>
      </c>
    </row>
    <row r="55" customFormat="false" ht="45" hidden="false" customHeight="true" outlineLevel="0" collapsed="false">
      <c r="A55" s="15" t="s">
        <v>215</v>
      </c>
      <c r="B55" s="14" t="s">
        <v>216</v>
      </c>
      <c r="C55" s="14" t="s">
        <v>218</v>
      </c>
      <c r="D55" s="14" t="s">
        <v>219</v>
      </c>
      <c r="E55" s="14" t="s">
        <v>41</v>
      </c>
    </row>
    <row r="56" customFormat="false" ht="45" hidden="false" customHeight="true" outlineLevel="0" collapsed="false">
      <c r="A56" s="15" t="s">
        <v>220</v>
      </c>
      <c r="B56" s="14" t="s">
        <v>221</v>
      </c>
      <c r="C56" s="14" t="s">
        <v>223</v>
      </c>
      <c r="D56" s="14" t="s">
        <v>224</v>
      </c>
      <c r="E56" s="14" t="s">
        <v>41</v>
      </c>
    </row>
    <row r="57" customFormat="false" ht="45" hidden="false" customHeight="true" outlineLevel="0" collapsed="false">
      <c r="A57" s="15" t="s">
        <v>225</v>
      </c>
      <c r="B57" s="14" t="s">
        <v>226</v>
      </c>
      <c r="C57" s="14" t="s">
        <v>229</v>
      </c>
      <c r="D57" s="14" t="s">
        <v>230</v>
      </c>
      <c r="E57" s="14" t="s">
        <v>231</v>
      </c>
    </row>
    <row r="58" customFormat="false" ht="45" hidden="false" customHeight="true" outlineLevel="0" collapsed="false">
      <c r="A58" s="15" t="s">
        <v>247</v>
      </c>
      <c r="B58" s="14" t="s">
        <v>248</v>
      </c>
      <c r="C58" s="14" t="s">
        <v>250</v>
      </c>
      <c r="D58" s="14" t="s">
        <v>251</v>
      </c>
      <c r="E58" s="14" t="s">
        <v>231</v>
      </c>
    </row>
    <row r="59" customFormat="false" ht="45" hidden="false" customHeight="true" outlineLevel="0" collapsed="false">
      <c r="A59" s="15" t="s">
        <v>262</v>
      </c>
      <c r="B59" s="14" t="s">
        <v>263</v>
      </c>
      <c r="C59" s="14" t="s">
        <v>265</v>
      </c>
      <c r="D59" s="14" t="s">
        <v>266</v>
      </c>
      <c r="E59" s="14" t="s">
        <v>231</v>
      </c>
    </row>
    <row r="60" customFormat="false" ht="45" hidden="false" customHeight="true" outlineLevel="0" collapsed="false">
      <c r="A60" s="15" t="s">
        <v>279</v>
      </c>
      <c r="B60" s="14" t="s">
        <v>280</v>
      </c>
      <c r="C60" s="14" t="s">
        <v>282</v>
      </c>
      <c r="D60" s="14" t="s">
        <v>283</v>
      </c>
      <c r="E60" s="14" t="s">
        <v>273</v>
      </c>
    </row>
    <row r="61" customFormat="false" ht="45" hidden="false" customHeight="true" outlineLevel="0" collapsed="false">
      <c r="A61" s="15" t="s">
        <v>289</v>
      </c>
      <c r="B61" s="14" t="s">
        <v>290</v>
      </c>
      <c r="C61" s="14" t="s">
        <v>292</v>
      </c>
      <c r="D61" s="14" t="s">
        <v>293</v>
      </c>
      <c r="E61" s="14" t="s">
        <v>273</v>
      </c>
    </row>
    <row r="62" customFormat="false" ht="45" hidden="false" customHeight="true" outlineLevel="0" collapsed="false">
      <c r="A62" s="15" t="s">
        <v>299</v>
      </c>
      <c r="B62" s="14" t="s">
        <v>300</v>
      </c>
      <c r="C62" s="14" t="s">
        <v>302</v>
      </c>
      <c r="D62" s="14" t="s">
        <v>303</v>
      </c>
      <c r="E62" s="14" t="s">
        <v>273</v>
      </c>
    </row>
    <row r="63" customFormat="false" ht="45" hidden="false" customHeight="true" outlineLevel="0" collapsed="false">
      <c r="A63" s="15" t="s">
        <v>308</v>
      </c>
      <c r="B63" s="14" t="s">
        <v>309</v>
      </c>
      <c r="C63" s="14" t="s">
        <v>311</v>
      </c>
      <c r="D63" s="14" t="s">
        <v>312</v>
      </c>
      <c r="E63" s="14" t="s">
        <v>273</v>
      </c>
    </row>
    <row r="64" customFormat="false" ht="45" hidden="false" customHeight="true" outlineLevel="0" collapsed="false">
      <c r="A64" s="15" t="s">
        <v>313</v>
      </c>
      <c r="B64" s="14" t="s">
        <v>314</v>
      </c>
      <c r="C64" s="14" t="s">
        <v>316</v>
      </c>
      <c r="D64" s="14" t="s">
        <v>317</v>
      </c>
      <c r="E64" s="14" t="s">
        <v>273</v>
      </c>
    </row>
    <row r="65" customFormat="false" ht="45" hidden="false" customHeight="true" outlineLevel="0" collapsed="false">
      <c r="A65" s="15" t="s">
        <v>337</v>
      </c>
      <c r="B65" s="14" t="s">
        <v>338</v>
      </c>
      <c r="C65" s="14" t="s">
        <v>341</v>
      </c>
      <c r="D65" s="14" t="s">
        <v>342</v>
      </c>
      <c r="E65" s="14" t="s">
        <v>343</v>
      </c>
    </row>
    <row r="66" customFormat="false" ht="45" hidden="false" customHeight="true" outlineLevel="0" collapsed="false">
      <c r="A66" s="15" t="s">
        <v>383</v>
      </c>
      <c r="B66" s="14" t="s">
        <v>384</v>
      </c>
      <c r="C66" s="14" t="s">
        <v>386</v>
      </c>
      <c r="D66" s="14" t="s">
        <v>387</v>
      </c>
      <c r="E66" s="14" t="s">
        <v>343</v>
      </c>
    </row>
    <row r="67" customFormat="false" ht="45" hidden="false" customHeight="true" outlineLevel="0" collapsed="false">
      <c r="A67" s="15" t="s">
        <v>393</v>
      </c>
      <c r="B67" s="14" t="s">
        <v>394</v>
      </c>
      <c r="C67" s="14" t="s">
        <v>396</v>
      </c>
      <c r="D67" s="14" t="s">
        <v>397</v>
      </c>
      <c r="E67" s="14" t="s">
        <v>343</v>
      </c>
    </row>
    <row r="68" customFormat="false" ht="45" hidden="false" customHeight="true" outlineLevel="0" collapsed="false">
      <c r="A68" s="15" t="s">
        <v>398</v>
      </c>
      <c r="B68" s="14" t="s">
        <v>399</v>
      </c>
      <c r="C68" s="14" t="s">
        <v>401</v>
      </c>
      <c r="D68" s="14" t="s">
        <v>402</v>
      </c>
      <c r="E68" s="14" t="s">
        <v>343</v>
      </c>
    </row>
    <row r="69" customFormat="false" ht="45" hidden="false" customHeight="true" outlineLevel="0" collapsed="false">
      <c r="A69" s="15" t="s">
        <v>403</v>
      </c>
      <c r="B69" s="14" t="s">
        <v>404</v>
      </c>
      <c r="C69" s="14" t="s">
        <v>406</v>
      </c>
      <c r="D69" s="14" t="s">
        <v>407</v>
      </c>
      <c r="E69" s="14" t="s">
        <v>343</v>
      </c>
    </row>
    <row r="70" customFormat="false" ht="45" hidden="false" customHeight="true" outlineLevel="0" collapsed="false">
      <c r="A70" s="15" t="s">
        <v>422</v>
      </c>
      <c r="B70" s="14" t="s">
        <v>423</v>
      </c>
      <c r="C70" s="14" t="s">
        <v>425</v>
      </c>
      <c r="D70" s="14" t="s">
        <v>426</v>
      </c>
      <c r="E70" s="14" t="s">
        <v>343</v>
      </c>
    </row>
    <row r="71" customFormat="false" ht="45" hidden="false" customHeight="true" outlineLevel="0" collapsed="false">
      <c r="A71" s="15" t="s">
        <v>427</v>
      </c>
      <c r="B71" s="14" t="s">
        <v>428</v>
      </c>
      <c r="C71" s="14" t="s">
        <v>430</v>
      </c>
      <c r="D71" s="14" t="s">
        <v>431</v>
      </c>
      <c r="E71" s="14" t="s">
        <v>343</v>
      </c>
    </row>
    <row r="72" customFormat="false" ht="45" hidden="false" customHeight="true" outlineLevel="0" collapsed="false">
      <c r="A72" s="15" t="s">
        <v>432</v>
      </c>
      <c r="B72" s="14" t="s">
        <v>433</v>
      </c>
      <c r="C72" s="14" t="s">
        <v>435</v>
      </c>
      <c r="D72" s="14" t="s">
        <v>436</v>
      </c>
      <c r="E72" s="14" t="s">
        <v>343</v>
      </c>
    </row>
    <row r="73" customFormat="false" ht="45" hidden="false" customHeight="true" outlineLevel="0" collapsed="false">
      <c r="A73" s="15" t="s">
        <v>442</v>
      </c>
      <c r="B73" s="14" t="s">
        <v>443</v>
      </c>
      <c r="C73" s="14" t="s">
        <v>445</v>
      </c>
      <c r="D73" s="14" t="s">
        <v>446</v>
      </c>
      <c r="E73" s="14" t="s">
        <v>343</v>
      </c>
    </row>
    <row r="74" customFormat="false" ht="45" hidden="false" customHeight="true" outlineLevel="0" collapsed="false">
      <c r="A74" s="15" t="s">
        <v>452</v>
      </c>
      <c r="B74" s="14" t="s">
        <v>453</v>
      </c>
      <c r="C74" s="14" t="s">
        <v>455</v>
      </c>
      <c r="D74" s="14" t="s">
        <v>456</v>
      </c>
      <c r="E74" s="14" t="s">
        <v>343</v>
      </c>
    </row>
    <row r="75" customFormat="false" ht="45" hidden="false" customHeight="true" outlineLevel="0" collapsed="false">
      <c r="A75" s="15" t="s">
        <v>462</v>
      </c>
      <c r="B75" s="14" t="s">
        <v>463</v>
      </c>
      <c r="C75" s="14" t="s">
        <v>465</v>
      </c>
      <c r="D75" s="14" t="s">
        <v>466</v>
      </c>
      <c r="E75" s="14" t="s">
        <v>343</v>
      </c>
    </row>
    <row r="76" customFormat="false" ht="45" hidden="false" customHeight="true" outlineLevel="0" collapsed="false">
      <c r="A76" s="15" t="s">
        <v>467</v>
      </c>
      <c r="B76" s="14" t="s">
        <v>468</v>
      </c>
      <c r="C76" s="14" t="s">
        <v>470</v>
      </c>
      <c r="D76" s="14" t="s">
        <v>471</v>
      </c>
      <c r="E76" s="14" t="s">
        <v>343</v>
      </c>
    </row>
    <row r="77" customFormat="false" ht="45" hidden="false" customHeight="true" outlineLevel="0" collapsed="false">
      <c r="A77" s="15" t="s">
        <v>487</v>
      </c>
      <c r="B77" s="14" t="s">
        <v>488</v>
      </c>
      <c r="C77" s="14" t="s">
        <v>490</v>
      </c>
      <c r="D77" s="14" t="s">
        <v>491</v>
      </c>
      <c r="E77" s="14" t="s">
        <v>343</v>
      </c>
    </row>
    <row r="78" customFormat="false" ht="45" hidden="false" customHeight="true" outlineLevel="0" collapsed="false">
      <c r="A78" s="15" t="s">
        <v>492</v>
      </c>
      <c r="B78" s="14" t="s">
        <v>493</v>
      </c>
      <c r="C78" s="14" t="s">
        <v>495</v>
      </c>
      <c r="D78" s="14" t="s">
        <v>496</v>
      </c>
      <c r="E78" s="14" t="s">
        <v>343</v>
      </c>
    </row>
    <row r="81" customFormat="false" ht="15" hidden="false" customHeight="false" outlineLevel="0" collapsed="false">
      <c r="A81" s="21" t="s">
        <v>526</v>
      </c>
    </row>
    <row r="82" customFormat="false" ht="26.85" hidden="false" customHeight="false" outlineLevel="0" collapsed="false">
      <c r="A82" s="13" t="s">
        <v>25</v>
      </c>
      <c r="B82" s="13" t="s">
        <v>26</v>
      </c>
      <c r="C82" s="13" t="s">
        <v>30</v>
      </c>
      <c r="D82" s="13" t="s">
        <v>523</v>
      </c>
      <c r="E82" s="13" t="s">
        <v>524</v>
      </c>
    </row>
    <row r="83" customFormat="false" ht="45" hidden="false" customHeight="true" outlineLevel="0" collapsed="false">
      <c r="A83" s="19" t="s">
        <v>54</v>
      </c>
      <c r="B83" s="14" t="s">
        <v>55</v>
      </c>
      <c r="C83" s="14" t="s">
        <v>57</v>
      </c>
      <c r="D83" s="14" t="s">
        <v>58</v>
      </c>
      <c r="E83" s="14" t="s">
        <v>41</v>
      </c>
    </row>
    <row r="84" customFormat="false" ht="45" hidden="false" customHeight="true" outlineLevel="0" collapsed="false">
      <c r="A84" s="19" t="s">
        <v>65</v>
      </c>
      <c r="B84" s="14" t="s">
        <v>66</v>
      </c>
      <c r="C84" s="14" t="s">
        <v>68</v>
      </c>
      <c r="D84" s="14" t="s">
        <v>69</v>
      </c>
      <c r="E84" s="14" t="s">
        <v>41</v>
      </c>
    </row>
    <row r="85" customFormat="false" ht="45" hidden="false" customHeight="true" outlineLevel="0" collapsed="false">
      <c r="A85" s="19" t="s">
        <v>85</v>
      </c>
      <c r="B85" s="14" t="s">
        <v>86</v>
      </c>
      <c r="C85" s="14" t="s">
        <v>88</v>
      </c>
      <c r="D85" s="14" t="s">
        <v>89</v>
      </c>
      <c r="E85" s="14" t="s">
        <v>41</v>
      </c>
    </row>
    <row r="86" customFormat="false" ht="45" hidden="false" customHeight="true" outlineLevel="0" collapsed="false">
      <c r="A86" s="19" t="s">
        <v>90</v>
      </c>
      <c r="B86" s="14" t="s">
        <v>91</v>
      </c>
      <c r="C86" s="14" t="s">
        <v>93</v>
      </c>
      <c r="D86" s="14" t="s">
        <v>94</v>
      </c>
      <c r="E86" s="14" t="s">
        <v>41</v>
      </c>
    </row>
    <row r="87" customFormat="false" ht="45" hidden="false" customHeight="true" outlineLevel="0" collapsed="false">
      <c r="A87" s="19" t="s">
        <v>100</v>
      </c>
      <c r="B87" s="14" t="s">
        <v>101</v>
      </c>
      <c r="C87" s="14" t="s">
        <v>103</v>
      </c>
      <c r="D87" s="14" t="s">
        <v>104</v>
      </c>
      <c r="E87" s="14" t="s">
        <v>41</v>
      </c>
    </row>
    <row r="88" customFormat="false" ht="45" hidden="false" customHeight="true" outlineLevel="0" collapsed="false">
      <c r="A88" s="19" t="s">
        <v>195</v>
      </c>
      <c r="B88" s="14" t="s">
        <v>196</v>
      </c>
      <c r="C88" s="14" t="s">
        <v>198</v>
      </c>
      <c r="D88" s="14" t="s">
        <v>199</v>
      </c>
      <c r="E88" s="14" t="s">
        <v>41</v>
      </c>
    </row>
    <row r="89" customFormat="false" ht="45" hidden="false" customHeight="true" outlineLevel="0" collapsed="false">
      <c r="A89" s="19" t="s">
        <v>232</v>
      </c>
      <c r="B89" s="14" t="s">
        <v>233</v>
      </c>
      <c r="C89" s="14" t="s">
        <v>235</v>
      </c>
      <c r="D89" s="14" t="s">
        <v>236</v>
      </c>
      <c r="E89" s="14" t="s">
        <v>231</v>
      </c>
    </row>
    <row r="90" customFormat="false" ht="45" hidden="false" customHeight="true" outlineLevel="0" collapsed="false">
      <c r="A90" s="19" t="s">
        <v>242</v>
      </c>
      <c r="B90" s="14" t="s">
        <v>243</v>
      </c>
      <c r="C90" s="14" t="s">
        <v>245</v>
      </c>
      <c r="D90" s="14" t="s">
        <v>246</v>
      </c>
      <c r="E90" s="14" t="s">
        <v>231</v>
      </c>
    </row>
    <row r="91" customFormat="false" ht="45" hidden="false" customHeight="true" outlineLevel="0" collapsed="false">
      <c r="A91" s="19" t="s">
        <v>252</v>
      </c>
      <c r="B91" s="14" t="s">
        <v>253</v>
      </c>
      <c r="C91" s="14" t="s">
        <v>255</v>
      </c>
      <c r="D91" s="14" t="s">
        <v>256</v>
      </c>
      <c r="E91" s="14" t="s">
        <v>231</v>
      </c>
    </row>
    <row r="92" customFormat="false" ht="45" hidden="false" customHeight="true" outlineLevel="0" collapsed="false">
      <c r="A92" s="19" t="s">
        <v>267</v>
      </c>
      <c r="B92" s="14" t="s">
        <v>268</v>
      </c>
      <c r="C92" s="14" t="s">
        <v>271</v>
      </c>
      <c r="D92" s="14" t="s">
        <v>272</v>
      </c>
      <c r="E92" s="14" t="s">
        <v>273</v>
      </c>
    </row>
    <row r="93" customFormat="false" ht="45" hidden="false" customHeight="true" outlineLevel="0" collapsed="false">
      <c r="A93" s="19" t="s">
        <v>274</v>
      </c>
      <c r="B93" s="14" t="s">
        <v>275</v>
      </c>
      <c r="C93" s="14" t="s">
        <v>277</v>
      </c>
      <c r="D93" s="14" t="s">
        <v>278</v>
      </c>
      <c r="E93" s="14" t="s">
        <v>273</v>
      </c>
    </row>
    <row r="94" customFormat="false" ht="45" hidden="false" customHeight="true" outlineLevel="0" collapsed="false">
      <c r="A94" s="19" t="s">
        <v>284</v>
      </c>
      <c r="B94" s="14" t="s">
        <v>285</v>
      </c>
      <c r="C94" s="14" t="s">
        <v>287</v>
      </c>
      <c r="D94" s="14" t="s">
        <v>288</v>
      </c>
      <c r="E94" s="14" t="s">
        <v>273</v>
      </c>
    </row>
    <row r="95" customFormat="false" ht="45" hidden="false" customHeight="true" outlineLevel="0" collapsed="false">
      <c r="A95" s="19" t="s">
        <v>294</v>
      </c>
      <c r="B95" s="14" t="s">
        <v>295</v>
      </c>
      <c r="C95" s="14" t="s">
        <v>297</v>
      </c>
      <c r="D95" s="14" t="s">
        <v>298</v>
      </c>
      <c r="E95" s="14" t="s">
        <v>273</v>
      </c>
    </row>
    <row r="96" customFormat="false" ht="45" hidden="false" customHeight="true" outlineLevel="0" collapsed="false">
      <c r="A96" s="19" t="s">
        <v>304</v>
      </c>
      <c r="B96" s="14" t="s">
        <v>305</v>
      </c>
      <c r="C96" s="14" t="s">
        <v>245</v>
      </c>
      <c r="D96" s="14" t="s">
        <v>307</v>
      </c>
      <c r="E96" s="14" t="s">
        <v>273</v>
      </c>
    </row>
    <row r="97" customFormat="false" ht="45" hidden="false" customHeight="true" outlineLevel="0" collapsed="false">
      <c r="A97" s="19" t="s">
        <v>318</v>
      </c>
      <c r="B97" s="14" t="s">
        <v>319</v>
      </c>
      <c r="C97" s="14" t="s">
        <v>321</v>
      </c>
      <c r="D97" s="14" t="s">
        <v>322</v>
      </c>
      <c r="E97" s="14" t="s">
        <v>273</v>
      </c>
    </row>
    <row r="98" customFormat="false" ht="45" hidden="false" customHeight="true" outlineLevel="0" collapsed="false">
      <c r="A98" s="19" t="s">
        <v>323</v>
      </c>
      <c r="B98" s="14" t="s">
        <v>324</v>
      </c>
      <c r="C98" s="14" t="s">
        <v>245</v>
      </c>
      <c r="D98" s="14" t="s">
        <v>326</v>
      </c>
      <c r="E98" s="14" t="s">
        <v>273</v>
      </c>
    </row>
    <row r="99" customFormat="false" ht="45" hidden="false" customHeight="true" outlineLevel="0" collapsed="false">
      <c r="A99" s="19" t="s">
        <v>327</v>
      </c>
      <c r="B99" s="14" t="s">
        <v>328</v>
      </c>
      <c r="C99" s="14" t="s">
        <v>330</v>
      </c>
      <c r="D99" s="14" t="s">
        <v>331</v>
      </c>
      <c r="E99" s="14" t="s">
        <v>273</v>
      </c>
    </row>
    <row r="100" customFormat="false" ht="45" hidden="false" customHeight="true" outlineLevel="0" collapsed="false">
      <c r="A100" s="19" t="s">
        <v>354</v>
      </c>
      <c r="B100" s="14" t="s">
        <v>355</v>
      </c>
      <c r="C100" s="14" t="s">
        <v>245</v>
      </c>
      <c r="D100" s="14" t="s">
        <v>357</v>
      </c>
      <c r="E100" s="14" t="s">
        <v>343</v>
      </c>
    </row>
    <row r="101" customFormat="false" ht="45" hidden="false" customHeight="true" outlineLevel="0" collapsed="false">
      <c r="A101" s="19" t="s">
        <v>363</v>
      </c>
      <c r="B101" s="14" t="s">
        <v>364</v>
      </c>
      <c r="C101" s="14" t="s">
        <v>366</v>
      </c>
      <c r="D101" s="14" t="s">
        <v>367</v>
      </c>
      <c r="E101" s="14" t="s">
        <v>343</v>
      </c>
    </row>
    <row r="102" customFormat="false" ht="45" hidden="false" customHeight="true" outlineLevel="0" collapsed="false">
      <c r="A102" s="19" t="s">
        <v>368</v>
      </c>
      <c r="B102" s="14" t="s">
        <v>369</v>
      </c>
      <c r="C102" s="14" t="s">
        <v>371</v>
      </c>
      <c r="D102" s="14" t="s">
        <v>372</v>
      </c>
      <c r="E102" s="14" t="s">
        <v>343</v>
      </c>
    </row>
    <row r="103" customFormat="false" ht="45" hidden="false" customHeight="true" outlineLevel="0" collapsed="false">
      <c r="A103" s="19" t="s">
        <v>418</v>
      </c>
      <c r="B103" s="14" t="s">
        <v>419</v>
      </c>
      <c r="C103" s="14" t="s">
        <v>245</v>
      </c>
      <c r="D103" s="14" t="s">
        <v>421</v>
      </c>
      <c r="E103" s="14" t="s">
        <v>343</v>
      </c>
    </row>
    <row r="104" customFormat="false" ht="45" hidden="false" customHeight="true" outlineLevel="0" collapsed="false">
      <c r="A104" s="19" t="s">
        <v>437</v>
      </c>
      <c r="B104" s="14" t="s">
        <v>438</v>
      </c>
      <c r="C104" s="14" t="s">
        <v>440</v>
      </c>
      <c r="D104" s="14" t="s">
        <v>441</v>
      </c>
      <c r="E104" s="14" t="s">
        <v>343</v>
      </c>
    </row>
    <row r="105" customFormat="false" ht="45" hidden="false" customHeight="true" outlineLevel="0" collapsed="false">
      <c r="A105" s="19" t="s">
        <v>447</v>
      </c>
      <c r="B105" s="14" t="s">
        <v>448</v>
      </c>
      <c r="C105" s="14" t="s">
        <v>450</v>
      </c>
      <c r="D105" s="14" t="s">
        <v>451</v>
      </c>
      <c r="E105" s="14" t="s">
        <v>343</v>
      </c>
    </row>
    <row r="106" customFormat="false" ht="45" hidden="false" customHeight="true" outlineLevel="0" collapsed="false">
      <c r="A106" s="19" t="s">
        <v>482</v>
      </c>
      <c r="B106" s="14" t="s">
        <v>483</v>
      </c>
      <c r="C106" s="14" t="s">
        <v>485</v>
      </c>
      <c r="D106" s="14" t="s">
        <v>486</v>
      </c>
      <c r="E106" s="14" t="s">
        <v>343</v>
      </c>
    </row>
    <row r="107" customFormat="false" ht="45" hidden="false" customHeight="true" outlineLevel="0" collapsed="false">
      <c r="A107" s="19" t="s">
        <v>502</v>
      </c>
      <c r="B107" s="14" t="s">
        <v>503</v>
      </c>
      <c r="C107" s="14" t="s">
        <v>505</v>
      </c>
      <c r="D107" s="14" t="s">
        <v>506</v>
      </c>
      <c r="E107" s="14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2026-06-12T07:24:49Z</dcterms:created>
  <dc:creator>openpyxl</dc:creator>
  <dc:description/>
  <dc:language>en-US</dc:language>
  <cp:lastModifiedBy/>
  <dcterms:modified xsi:type="dcterms:W3CDTF">2026-06-12T07:24:49Z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